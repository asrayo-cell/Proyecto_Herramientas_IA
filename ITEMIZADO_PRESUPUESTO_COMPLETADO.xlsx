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ormulario Oficial" sheetId="1" state="visible" r:id="rId1"/>
  </sheets>
  <definedNames>
    <definedName name="Excel_BuiltIn_Print_Area_1_1">#N/A</definedName>
    <definedName name="_xlnm._FilterDatabase" localSheetId="0" hidden="1">'Formulario Oficial'!$A$6:$F$382</definedName>
    <definedName name="_xlnm.Print_Area" localSheetId="0">'Formulario Oficial'!$A$1:$F$392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$&quot;* #,##0_ ;_ &quot;$&quot;* \-#,##0_ ;_ &quot;$&quot;* &quot;-&quot;_ ;_ @_ "/>
    <numFmt numFmtId="165" formatCode="0.000%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42" fontId="1" fillId="0" borderId="0"/>
    <xf numFmtId="9" fontId="1" fillId="0" borderId="0"/>
  </cellStyleXfs>
  <cellXfs count="5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1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1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164" fontId="0" fillId="0" borderId="0" pivotButton="0" quotePrefix="0" xfId="0"/>
    <xf numFmtId="164" fontId="0" fillId="0" borderId="6" applyAlignment="1" pivotButton="0" quotePrefix="0" xfId="1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9" fontId="0" fillId="0" borderId="6" applyAlignment="1" pivotButton="0" quotePrefix="0" xfId="2">
      <alignment horizontal="center" vertical="center"/>
    </xf>
    <xf numFmtId="9" fontId="2" fillId="0" borderId="6" applyAlignment="1" pivotButton="0" quotePrefix="0" xfId="2">
      <alignment horizontal="center"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2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64" fontId="2" fillId="0" borderId="10" applyAlignment="1" pivotButton="0" quotePrefix="0" xfId="1">
      <alignment horizontal="center" vertical="center"/>
    </xf>
    <xf numFmtId="164" fontId="0" fillId="0" borderId="11" applyAlignment="1" pivotButton="0" quotePrefix="0" xfId="1">
      <alignment horizontal="center" vertical="center"/>
    </xf>
    <xf numFmtId="164" fontId="0" fillId="0" borderId="9" applyAlignment="1" pivotButton="0" quotePrefix="0" xfId="1">
      <alignment horizontal="center" vertical="center"/>
    </xf>
    <xf numFmtId="164" fontId="0" fillId="0" borderId="9" applyAlignment="1" pivotButton="0" quotePrefix="0" xfId="1">
      <alignment horizontal="center" vertical="center"/>
    </xf>
    <xf numFmtId="164" fontId="0" fillId="0" borderId="12" applyAlignment="1" pivotButton="0" quotePrefix="0" xfId="1">
      <alignment horizontal="center" vertical="center"/>
    </xf>
    <xf numFmtId="164" fontId="2" fillId="0" borderId="13" applyAlignment="1" pivotButton="0" quotePrefix="0" xfId="1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2" fillId="0" borderId="2" applyAlignment="1" pivotButton="0" quotePrefix="0" xfId="1">
      <alignment horizontal="center" vertical="center"/>
    </xf>
    <xf numFmtId="164" fontId="2" fillId="0" borderId="10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164" fontId="0" fillId="0" borderId="11" applyAlignment="1" pivotButton="0" quotePrefix="0" xfId="1">
      <alignment horizontal="center" vertical="center"/>
    </xf>
    <xf numFmtId="164" fontId="0" fillId="0" borderId="6" applyAlignment="1" pivotButton="0" quotePrefix="0" xfId="1">
      <alignment horizontal="center" vertical="center"/>
    </xf>
    <xf numFmtId="164" fontId="0" fillId="0" borderId="9" applyAlignment="1" pivotButton="0" quotePrefix="0" xfId="1">
      <alignment horizontal="center" vertical="center"/>
    </xf>
    <xf numFmtId="164" fontId="0" fillId="0" borderId="0" pivotButton="0" quotePrefix="0" xfId="0"/>
    <xf numFmtId="164" fontId="0" fillId="0" borderId="8" applyAlignment="1" pivotButton="0" quotePrefix="0" xfId="1">
      <alignment horizontal="center" vertical="center"/>
    </xf>
    <xf numFmtId="164" fontId="0" fillId="0" borderId="12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2" fillId="0" borderId="13" applyAlignment="1" pivotButton="0" quotePrefix="0" xfId="1">
      <alignment horizontal="center" vertical="center"/>
    </xf>
    <xf numFmtId="165" fontId="0" fillId="0" borderId="0" applyAlignment="1" pivotButton="0" quotePrefix="0" xfId="2">
      <alignment horizontal="center" vertical="center"/>
    </xf>
  </cellXfs>
  <cellStyles count="3">
    <cellStyle name="Normal" xfId="0" builtinId="0"/>
    <cellStyle name="Moneda [0]" xfId="1" builtinId="7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tabSelected="1" zoomScaleNormal="100" zoomScaleSheetLayoutView="100" workbookViewId="0">
      <selection activeCell="A3" sqref="A3:F3"/>
    </sheetView>
  </sheetViews>
  <sheetFormatPr baseColWidth="10" defaultColWidth="11" defaultRowHeight="14.4"/>
  <cols>
    <col width="25.21875" bestFit="1" customWidth="1" style="22" min="1" max="1"/>
    <col width="71.6640625" customWidth="1" style="27" min="2" max="2"/>
    <col width="11.5546875" customWidth="1" style="22" min="3" max="3"/>
    <col width="8.88671875" customWidth="1" style="22" min="4" max="4"/>
    <col width="14.6640625" customWidth="1" style="41" min="5" max="6"/>
    <col width="16.21875" bestFit="1" customWidth="1" min="7" max="7"/>
  </cols>
  <sheetData>
    <row r="1">
      <c r="A1" s="40" t="inlineStr">
        <is>
          <t>CONSTRUCTORA IA_GEN S.A.</t>
        </is>
      </c>
    </row>
    <row r="2">
      <c r="A2" s="30" t="inlineStr">
        <is>
          <t>FORMULARIO OFICIAL</t>
        </is>
      </c>
    </row>
    <row r="3">
      <c r="A3" s="31" t="inlineStr">
        <is>
          <t>NORMALIZACIÓN REDES CONTRA INCENDIO DEL RECINTO</t>
        </is>
      </c>
    </row>
    <row r="5" ht="15" customHeight="1" thickBot="1"/>
    <row r="6" ht="15" customHeight="1" thickBot="1">
      <c r="A6" s="1" t="inlineStr">
        <is>
          <t>Nº</t>
        </is>
      </c>
      <c r="B6" s="2" t="inlineStr">
        <is>
          <t>Itém</t>
        </is>
      </c>
      <c r="C6" s="2" t="inlineStr">
        <is>
          <t>Uni</t>
        </is>
      </c>
      <c r="D6" s="2" t="inlineStr">
        <is>
          <t>Cantidad</t>
        </is>
      </c>
      <c r="E6" s="42" t="inlineStr">
        <is>
          <t>P. Unitario</t>
        </is>
      </c>
      <c r="F6" s="43" t="inlineStr">
        <is>
          <t>P. Total</t>
        </is>
      </c>
      <c r="G6" s="38" t="inlineStr">
        <is>
          <t>NO ENCONTRADO</t>
        </is>
      </c>
    </row>
    <row r="7">
      <c r="A7" s="4" t="n">
        <v>1</v>
      </c>
      <c r="B7" s="5" t="inlineStr">
        <is>
          <t>OBRAS PRELIMINARES</t>
        </is>
      </c>
      <c r="C7" s="6" t="n"/>
      <c r="D7" s="6" t="n"/>
      <c r="E7" s="44" t="n"/>
      <c r="F7" s="45" t="n"/>
      <c r="G7" s="39" t="n"/>
    </row>
    <row r="8">
      <c r="A8" s="8" t="inlineStr">
        <is>
          <t>1.1</t>
        </is>
      </c>
      <c r="B8" s="9" t="inlineStr">
        <is>
          <t>OBRAS PROVISORIAS</t>
        </is>
      </c>
      <c r="C8" s="10" t="inlineStr">
        <is>
          <t>GL</t>
        </is>
      </c>
      <c r="D8" s="10" t="n">
        <v>1</v>
      </c>
      <c r="E8" s="46" t="n">
        <v>9600000</v>
      </c>
      <c r="F8" s="47">
        <f>D8*E8</f>
        <v/>
      </c>
      <c r="G8" s="39" t="n"/>
    </row>
    <row r="9">
      <c r="A9" s="8" t="inlineStr">
        <is>
          <t>1.2</t>
        </is>
      </c>
      <c r="B9" s="9" t="inlineStr">
        <is>
          <t>INSTALACIONES DE FAENAS</t>
        </is>
      </c>
      <c r="C9" s="10" t="inlineStr">
        <is>
          <t>GL</t>
        </is>
      </c>
      <c r="D9" s="10" t="n">
        <v>1</v>
      </c>
      <c r="E9" s="46" t="n">
        <v>4160000</v>
      </c>
      <c r="F9" s="47">
        <f>D9*E9</f>
        <v/>
      </c>
      <c r="G9" s="39" t="n"/>
    </row>
    <row r="10">
      <c r="A10" s="12" t="n">
        <v>2</v>
      </c>
      <c r="B10" s="29" t="inlineStr">
        <is>
          <t>SISTEMAS DE ROCIADORES</t>
        </is>
      </c>
      <c r="C10" s="10" t="n"/>
      <c r="D10" s="10" t="n"/>
      <c r="E10" s="46" t="n"/>
      <c r="F10" s="47" t="n"/>
      <c r="G10" s="39" t="n"/>
    </row>
    <row r="11">
      <c r="A11" s="12" t="inlineStr">
        <is>
          <t>2.1</t>
        </is>
      </c>
      <c r="B11" s="29" t="inlineStr">
        <is>
          <t>ROCIADORES</t>
        </is>
      </c>
      <c r="C11" s="10" t="n"/>
      <c r="D11" s="10" t="n"/>
      <c r="E11" s="46" t="n"/>
      <c r="F11" s="47" t="n"/>
      <c r="G11" s="39" t="n"/>
    </row>
    <row r="12">
      <c r="A12" s="8" t="inlineStr">
        <is>
          <t>2.1.1</t>
        </is>
      </c>
      <c r="B12" s="9" t="inlineStr">
        <is>
          <t>Rociador Colgante semiembutido, Respuesta Rápida, K5.6, 165° F (68° C), 1/2" NPT</t>
        </is>
      </c>
      <c r="C12" s="10" t="inlineStr">
        <is>
          <t>UN</t>
        </is>
      </c>
      <c r="D12" s="10" t="n">
        <v>76</v>
      </c>
      <c r="E12" s="46" t="n">
        <v>18175</v>
      </c>
      <c r="F12" s="47">
        <f>D12*E12</f>
        <v/>
      </c>
      <c r="G12" s="39" t="n"/>
      <c r="J12" s="48" t="n"/>
    </row>
    <row r="13">
      <c r="A13" s="8" t="inlineStr">
        <is>
          <t>2.1.2</t>
        </is>
      </c>
      <c r="B13" s="9" t="inlineStr">
        <is>
          <t>Rociador Montante, Respuesta Rápida, K5.6, 155° F (68° C), 1/2" NPT</t>
        </is>
      </c>
      <c r="C13" s="10" t="inlineStr">
        <is>
          <t>UN</t>
        </is>
      </c>
      <c r="D13" s="10" t="n">
        <v>348</v>
      </c>
      <c r="E13" s="46" t="n">
        <v>13692</v>
      </c>
      <c r="F13" s="47">
        <f>D13*E13</f>
        <v/>
      </c>
      <c r="G13" s="39" t="n"/>
    </row>
    <row r="14">
      <c r="A14" s="8" t="inlineStr">
        <is>
          <t>2.1.3</t>
        </is>
      </c>
      <c r="B14" s="9" t="inlineStr">
        <is>
          <t>Rociador Colgante, Respuesta estándar, K8, 165° F (74° C), 1/2" NPT</t>
        </is>
      </c>
      <c r="C14" s="10" t="inlineStr">
        <is>
          <t>UN</t>
        </is>
      </c>
      <c r="D14" s="10" t="n">
        <v>12</v>
      </c>
      <c r="E14" s="46" t="n">
        <v>63672</v>
      </c>
      <c r="F14" s="47">
        <f>D14*E14</f>
        <v/>
      </c>
      <c r="G14" s="39" t="n"/>
    </row>
    <row r="15">
      <c r="A15" s="8" t="inlineStr">
        <is>
          <t>2.1.4</t>
        </is>
      </c>
      <c r="B15" s="9" t="inlineStr">
        <is>
          <t>Rociador Lateral Oculto (Institucional), Respuesta Estándar, K5.6, 165° F (74° C), 1/2" NPT</t>
        </is>
      </c>
      <c r="C15" s="10" t="inlineStr">
        <is>
          <t>UN</t>
        </is>
      </c>
      <c r="D15" s="10" t="n">
        <v>356</v>
      </c>
      <c r="E15" s="46" t="n">
        <v>90477</v>
      </c>
      <c r="F15" s="47">
        <f>D15*E15</f>
        <v/>
      </c>
      <c r="G15" s="39" t="n"/>
    </row>
    <row r="16">
      <c r="A16" s="8" t="inlineStr">
        <is>
          <t>2.1.5</t>
        </is>
      </c>
      <c r="B16" s="9" t="inlineStr">
        <is>
          <t>Rociador Lateral Oculto, Respuesta Rápida, K5.6, 165° F (74° C), 1/2" NPT</t>
        </is>
      </c>
      <c r="C16" s="10" t="inlineStr">
        <is>
          <t>UN</t>
        </is>
      </c>
      <c r="D16" s="10" t="n">
        <v>1</v>
      </c>
      <c r="E16" s="46" t="n">
        <v>110999</v>
      </c>
      <c r="F16" s="47">
        <f>D16*E16</f>
        <v/>
      </c>
      <c r="G16" s="39" t="n"/>
    </row>
    <row r="17">
      <c r="A17" s="8" t="inlineStr">
        <is>
          <t>2.1.6</t>
        </is>
      </c>
      <c r="B17" s="9" t="inlineStr">
        <is>
          <t>Caja de Repuestos y Llaves de montajes de cada Rociador instalado</t>
        </is>
      </c>
      <c r="C17" s="10" t="inlineStr">
        <is>
          <t>UN</t>
        </is>
      </c>
      <c r="D17" s="10" t="n">
        <v>4</v>
      </c>
      <c r="E17" s="46" t="n">
        <v>173793</v>
      </c>
      <c r="F17" s="47">
        <f>D17*E17</f>
        <v/>
      </c>
      <c r="G17" s="39" t="n"/>
    </row>
    <row r="18">
      <c r="A18" s="12" t="inlineStr">
        <is>
          <t>2.2</t>
        </is>
      </c>
      <c r="B18" s="29" t="inlineStr">
        <is>
          <t>CAÑERIAS Y FITTING</t>
        </is>
      </c>
      <c r="C18" s="10" t="n"/>
      <c r="D18" s="10" t="n"/>
      <c r="E18" s="46" t="n"/>
      <c r="F18" s="47" t="n"/>
      <c r="G18" s="39" t="n"/>
    </row>
    <row r="19">
      <c r="A19" s="8" t="inlineStr">
        <is>
          <t>2.2.1</t>
        </is>
      </c>
      <c r="B19" s="9" t="inlineStr">
        <is>
          <t>Cañería de 3"</t>
        </is>
      </c>
      <c r="C19" s="10" t="inlineStr">
        <is>
          <t>MTS</t>
        </is>
      </c>
      <c r="D19" s="10" t="n">
        <v>171.747</v>
      </c>
      <c r="E19" s="46" t="n">
        <v>37777</v>
      </c>
      <c r="F19" s="47">
        <f>D19*E19</f>
        <v/>
      </c>
      <c r="G19" s="39" t="n"/>
    </row>
    <row r="20">
      <c r="A20" s="8" t="inlineStr">
        <is>
          <t>2.2.2</t>
        </is>
      </c>
      <c r="B20" s="9" t="inlineStr">
        <is>
          <t>Cañería de 2 1/2"</t>
        </is>
      </c>
      <c r="C20" s="10" t="inlineStr">
        <is>
          <t>MTS</t>
        </is>
      </c>
      <c r="D20" s="10" t="n">
        <v>263.413</v>
      </c>
      <c r="E20" s="46" t="n">
        <v>28451</v>
      </c>
      <c r="F20" s="47">
        <f>D20*E20</f>
        <v/>
      </c>
      <c r="G20" s="39" t="n"/>
    </row>
    <row r="21">
      <c r="A21" s="8" t="inlineStr">
        <is>
          <t>2.2.3</t>
        </is>
      </c>
      <c r="B21" s="9" t="inlineStr">
        <is>
          <t>Cañería de 2"</t>
        </is>
      </c>
      <c r="C21" s="10" t="inlineStr">
        <is>
          <t>MTS</t>
        </is>
      </c>
      <c r="D21" s="10" t="n">
        <v>1093.528</v>
      </c>
      <c r="E21" s="46" t="n">
        <v>17092</v>
      </c>
      <c r="F21" s="47">
        <f>D21*E21</f>
        <v/>
      </c>
      <c r="G21" s="39" t="n"/>
    </row>
    <row r="22">
      <c r="A22" s="8" t="inlineStr">
        <is>
          <t>2.2.4</t>
        </is>
      </c>
      <c r="B22" s="9" t="inlineStr">
        <is>
          <t>Cañería de 1-1/2"</t>
        </is>
      </c>
      <c r="C22" s="10" t="inlineStr">
        <is>
          <t>MTS</t>
        </is>
      </c>
      <c r="D22" s="10" t="n">
        <v>117.398</v>
      </c>
      <c r="E22" s="46" t="n">
        <v>13392</v>
      </c>
      <c r="F22" s="47">
        <f>D22*E22</f>
        <v/>
      </c>
      <c r="G22" s="39" t="n"/>
    </row>
    <row r="23">
      <c r="A23" s="8" t="inlineStr">
        <is>
          <t>2.2.5</t>
        </is>
      </c>
      <c r="B23" s="9" t="inlineStr">
        <is>
          <t>Cañería de 1-1/4"</t>
        </is>
      </c>
      <c r="C23" s="10" t="inlineStr">
        <is>
          <t>MTS</t>
        </is>
      </c>
      <c r="D23" s="10" t="n">
        <v>49.477</v>
      </c>
      <c r="E23" s="46" t="n">
        <v>4608</v>
      </c>
      <c r="F23" s="47">
        <f>D23*E23</f>
        <v/>
      </c>
      <c r="G23" s="39" t="n"/>
    </row>
    <row r="24">
      <c r="A24" s="8" t="inlineStr">
        <is>
          <t>2.2.6</t>
        </is>
      </c>
      <c r="B24" s="9" t="inlineStr">
        <is>
          <t>Cañería de 1"</t>
        </is>
      </c>
      <c r="C24" s="10" t="inlineStr">
        <is>
          <t>MTS</t>
        </is>
      </c>
      <c r="D24" s="10" t="n">
        <v>779.082</v>
      </c>
      <c r="E24" s="46" t="n">
        <v>8015</v>
      </c>
      <c r="F24" s="47">
        <f>D24*E24</f>
        <v/>
      </c>
      <c r="G24" s="39" t="n"/>
    </row>
    <row r="25">
      <c r="A25" s="8" t="inlineStr">
        <is>
          <t>2.2.7</t>
        </is>
      </c>
      <c r="B25" s="9" t="inlineStr">
        <is>
          <t>Tee de 3"</t>
        </is>
      </c>
      <c r="C25" s="10" t="inlineStr">
        <is>
          <t>UN</t>
        </is>
      </c>
      <c r="D25" s="10" t="n">
        <v>7</v>
      </c>
      <c r="E25" s="46" t="n">
        <v>15461</v>
      </c>
      <c r="F25" s="47">
        <f>D25*E25</f>
        <v/>
      </c>
      <c r="G25" s="39" t="n"/>
    </row>
    <row r="26">
      <c r="A26" s="8" t="inlineStr">
        <is>
          <t>2.2.8</t>
        </is>
      </c>
      <c r="B26" s="9" t="inlineStr">
        <is>
          <t>Tee de 2 1/2"</t>
        </is>
      </c>
      <c r="C26" s="10" t="inlineStr">
        <is>
          <t>UN</t>
        </is>
      </c>
      <c r="D26" s="10" t="n">
        <v>3</v>
      </c>
      <c r="E26" s="46" t="n">
        <v>10856</v>
      </c>
      <c r="F26" s="47">
        <f>D26*E26</f>
        <v/>
      </c>
      <c r="G26" s="39" t="n"/>
    </row>
    <row r="27">
      <c r="A27" s="8" t="inlineStr">
        <is>
          <t>2.2.9</t>
        </is>
      </c>
      <c r="B27" s="9" t="inlineStr">
        <is>
          <t>Tee de 2"</t>
        </is>
      </c>
      <c r="C27" s="10" t="inlineStr">
        <is>
          <t>UN</t>
        </is>
      </c>
      <c r="D27" s="10" t="n">
        <v>10</v>
      </c>
      <c r="E27" s="46" t="n">
        <v>19050</v>
      </c>
      <c r="F27" s="47">
        <f>D27*E27</f>
        <v/>
      </c>
      <c r="G27" s="39" t="n"/>
    </row>
    <row r="28">
      <c r="A28" s="8" t="inlineStr">
        <is>
          <t>2.2.10</t>
        </is>
      </c>
      <c r="B28" s="9" t="inlineStr">
        <is>
          <t>Tee de 1-1/2"</t>
        </is>
      </c>
      <c r="C28" s="10" t="inlineStr">
        <is>
          <t>UN</t>
        </is>
      </c>
      <c r="D28" s="10" t="n">
        <v>23</v>
      </c>
      <c r="E28" s="46" t="n">
        <v>7136</v>
      </c>
      <c r="F28" s="47">
        <f>D28*E28</f>
        <v/>
      </c>
      <c r="G28" s="39" t="n"/>
    </row>
    <row r="29">
      <c r="A29" s="8" t="inlineStr">
        <is>
          <t>2.2.11</t>
        </is>
      </c>
      <c r="B29" s="9" t="inlineStr">
        <is>
          <t>Tee de 1-1/4"</t>
        </is>
      </c>
      <c r="C29" s="10" t="inlineStr">
        <is>
          <t>UN</t>
        </is>
      </c>
      <c r="D29" s="10" t="n">
        <v>6</v>
      </c>
      <c r="E29" s="46" t="n">
        <v>6279</v>
      </c>
      <c r="F29" s="47">
        <f>D29*E29</f>
        <v/>
      </c>
      <c r="G29" s="39" t="n"/>
    </row>
    <row r="30">
      <c r="A30" s="8" t="inlineStr">
        <is>
          <t>2.2.12</t>
        </is>
      </c>
      <c r="B30" s="9" t="inlineStr">
        <is>
          <t>Tee de 1"</t>
        </is>
      </c>
      <c r="C30" s="10" t="inlineStr">
        <is>
          <t>UN</t>
        </is>
      </c>
      <c r="D30" s="10" t="n">
        <v>108</v>
      </c>
      <c r="E30" s="46" t="n">
        <v>2866</v>
      </c>
      <c r="F30" s="47">
        <f>D30*E30</f>
        <v/>
      </c>
      <c r="G30" s="39" t="n"/>
    </row>
    <row r="31">
      <c r="A31" s="8" t="inlineStr">
        <is>
          <t>2.2.13</t>
        </is>
      </c>
      <c r="B31" s="9" t="inlineStr">
        <is>
          <t>Tee Mecánica 3" x 2"</t>
        </is>
      </c>
      <c r="C31" s="10" t="inlineStr">
        <is>
          <t>UN</t>
        </is>
      </c>
      <c r="D31" s="10" t="n">
        <v>1</v>
      </c>
      <c r="E31" s="46" t="n">
        <v>13631</v>
      </c>
      <c r="F31" s="47">
        <f>D31*E31</f>
        <v/>
      </c>
      <c r="G31" s="39" t="n"/>
    </row>
    <row r="32">
      <c r="A32" s="8" t="inlineStr">
        <is>
          <t>2.2.14</t>
        </is>
      </c>
      <c r="B32" s="9" t="inlineStr">
        <is>
          <t>Tee Mecánica 3" x 1-1/2"</t>
        </is>
      </c>
      <c r="C32" s="10" t="inlineStr">
        <is>
          <t>UN</t>
        </is>
      </c>
      <c r="D32" s="10" t="n">
        <v>1</v>
      </c>
      <c r="E32" s="46" t="n">
        <v>14525</v>
      </c>
      <c r="F32" s="47">
        <f>D32*E32</f>
        <v/>
      </c>
      <c r="G32" s="39" t="n"/>
    </row>
    <row r="33">
      <c r="A33" s="8" t="inlineStr">
        <is>
          <t>2.2.15</t>
        </is>
      </c>
      <c r="B33" s="9" t="inlineStr">
        <is>
          <t>Tee Mecánica 3" x 1-1/4"</t>
        </is>
      </c>
      <c r="C33" s="10" t="inlineStr">
        <is>
          <t>UN</t>
        </is>
      </c>
      <c r="D33" s="10" t="n">
        <v>1</v>
      </c>
      <c r="E33" s="46" t="n">
        <v>15613</v>
      </c>
      <c r="F33" s="47">
        <f>D33*E33</f>
        <v/>
      </c>
      <c r="G33" s="39" t="n"/>
    </row>
    <row r="34">
      <c r="A34" s="8" t="inlineStr">
        <is>
          <t>2.2.16</t>
        </is>
      </c>
      <c r="B34" s="9" t="inlineStr">
        <is>
          <t>Tee Mecánica 3" x 1"</t>
        </is>
      </c>
      <c r="C34" s="10" t="inlineStr">
        <is>
          <t>UN</t>
        </is>
      </c>
      <c r="D34" s="10" t="n">
        <v>16</v>
      </c>
      <c r="E34" s="46" t="n">
        <v>15613</v>
      </c>
      <c r="F34" s="47">
        <f>D34*E34</f>
        <v/>
      </c>
      <c r="G34" s="39" t="n"/>
    </row>
    <row r="35">
      <c r="A35" s="8" t="inlineStr">
        <is>
          <t>2.2.17</t>
        </is>
      </c>
      <c r="B35" s="9" t="inlineStr">
        <is>
          <t>Tee Mecánica 2 1/2" x 2"</t>
        </is>
      </c>
      <c r="C35" s="10" t="inlineStr">
        <is>
          <t>UN</t>
        </is>
      </c>
      <c r="D35" s="10" t="n">
        <v>1</v>
      </c>
      <c r="E35" s="46" t="n">
        <v>13288</v>
      </c>
      <c r="F35" s="47">
        <f>D35*E35</f>
        <v/>
      </c>
      <c r="G35" s="39" t="n"/>
    </row>
    <row r="36">
      <c r="A36" s="8" t="inlineStr">
        <is>
          <t>2.2.18</t>
        </is>
      </c>
      <c r="B36" s="9" t="inlineStr">
        <is>
          <t>Strap 2 1/2" x 1"</t>
        </is>
      </c>
      <c r="C36" s="10" t="inlineStr">
        <is>
          <t>UN</t>
        </is>
      </c>
      <c r="D36" s="10" t="n">
        <v>86</v>
      </c>
      <c r="E36" s="46" t="n">
        <v>6861</v>
      </c>
      <c r="F36" s="47">
        <f>D36*E36</f>
        <v/>
      </c>
      <c r="G36" s="39" t="n"/>
    </row>
    <row r="37">
      <c r="A37" s="8" t="inlineStr">
        <is>
          <t>2.2.19</t>
        </is>
      </c>
      <c r="B37" s="9" t="inlineStr">
        <is>
          <t>Strap 2 1/2" x 1/2"</t>
        </is>
      </c>
      <c r="C37" s="10" t="inlineStr">
        <is>
          <t>UN</t>
        </is>
      </c>
      <c r="D37" s="10" t="n">
        <v>1</v>
      </c>
      <c r="E37" s="46" t="n">
        <v>6520</v>
      </c>
      <c r="F37" s="47">
        <f>D37*E37</f>
        <v/>
      </c>
      <c r="G37" s="39" t="n"/>
    </row>
    <row r="38">
      <c r="A38" s="8" t="inlineStr">
        <is>
          <t>2.2.20</t>
        </is>
      </c>
      <c r="B38" s="9" t="inlineStr">
        <is>
          <t>Strap 2" x 1"</t>
        </is>
      </c>
      <c r="C38" s="10" t="inlineStr">
        <is>
          <t>UN</t>
        </is>
      </c>
      <c r="D38" s="10" t="n">
        <v>331</v>
      </c>
      <c r="E38" s="46" t="n">
        <v>4818</v>
      </c>
      <c r="F38" s="47">
        <f>D38*E38</f>
        <v/>
      </c>
      <c r="G38" s="39" t="n"/>
    </row>
    <row r="39">
      <c r="A39" s="8" t="inlineStr">
        <is>
          <t>2.2.21</t>
        </is>
      </c>
      <c r="B39" s="9" t="inlineStr">
        <is>
          <t>Strap 2" x 1/2"</t>
        </is>
      </c>
      <c r="C39" s="10" t="inlineStr">
        <is>
          <t>UN</t>
        </is>
      </c>
      <c r="D39" s="10" t="n">
        <v>1</v>
      </c>
      <c r="E39" s="46" t="n">
        <v>6416</v>
      </c>
      <c r="F39" s="47">
        <f>D39*E39</f>
        <v/>
      </c>
      <c r="G39" s="39" t="n"/>
    </row>
    <row r="40">
      <c r="A40" s="8" t="inlineStr">
        <is>
          <t>2.2.22</t>
        </is>
      </c>
      <c r="B40" s="9" t="inlineStr">
        <is>
          <t>Strap 1-1/2" x 1"</t>
        </is>
      </c>
      <c r="C40" s="10" t="inlineStr">
        <is>
          <t>UN</t>
        </is>
      </c>
      <c r="D40" s="10" t="n">
        <v>57</v>
      </c>
      <c r="E40" s="46" t="n">
        <v>4971</v>
      </c>
      <c r="F40" s="47">
        <f>D40*E40</f>
        <v/>
      </c>
      <c r="G40" s="39" t="n"/>
    </row>
    <row r="41">
      <c r="A41" s="8" t="inlineStr">
        <is>
          <t>2.2.23</t>
        </is>
      </c>
      <c r="B41" s="9" t="inlineStr">
        <is>
          <t>Reducción 3" x 2 1/2"</t>
        </is>
      </c>
      <c r="C41" s="10" t="inlineStr">
        <is>
          <t>UN</t>
        </is>
      </c>
      <c r="D41" s="10" t="n">
        <v>14</v>
      </c>
      <c r="E41" s="46" t="n">
        <v>5306</v>
      </c>
      <c r="F41" s="47">
        <f>D41*E41</f>
        <v/>
      </c>
      <c r="G41" s="39" t="n"/>
    </row>
    <row r="42">
      <c r="A42" s="8" t="inlineStr">
        <is>
          <t>2.2.24</t>
        </is>
      </c>
      <c r="B42" s="9" t="inlineStr">
        <is>
          <t>Reducción 2 1/2" x 2"</t>
        </is>
      </c>
      <c r="C42" s="10" t="inlineStr">
        <is>
          <t>UN</t>
        </is>
      </c>
      <c r="D42" s="10" t="n">
        <v>23</v>
      </c>
      <c r="E42" s="46" t="n">
        <v>5001</v>
      </c>
      <c r="F42" s="47">
        <f>D42*E42</f>
        <v/>
      </c>
      <c r="G42" s="39" t="n"/>
    </row>
    <row r="43">
      <c r="A43" s="8" t="inlineStr">
        <is>
          <t>2.2.25</t>
        </is>
      </c>
      <c r="B43" s="9" t="inlineStr">
        <is>
          <t>Reducción 1" x 1/2"</t>
        </is>
      </c>
      <c r="C43" s="10" t="inlineStr">
        <is>
          <t>UN</t>
        </is>
      </c>
      <c r="D43" s="10" t="n">
        <v>792</v>
      </c>
      <c r="E43" s="46" t="n">
        <v>1921</v>
      </c>
      <c r="F43" s="47">
        <f>D43*E43</f>
        <v/>
      </c>
      <c r="G43" s="39" t="n"/>
    </row>
    <row r="44">
      <c r="A44" s="8" t="inlineStr">
        <is>
          <t>2.2.26</t>
        </is>
      </c>
      <c r="B44" s="9" t="inlineStr">
        <is>
          <t>Codo 3"</t>
        </is>
      </c>
      <c r="C44" s="10" t="inlineStr">
        <is>
          <t>UN</t>
        </is>
      </c>
      <c r="D44" s="10" t="n">
        <v>7</v>
      </c>
      <c r="E44" s="46" t="n">
        <v>28948</v>
      </c>
      <c r="F44" s="47">
        <f>D44*E44</f>
        <v/>
      </c>
      <c r="G44" s="39" t="n"/>
    </row>
    <row r="45">
      <c r="A45" s="8" t="inlineStr">
        <is>
          <t>2.2.27</t>
        </is>
      </c>
      <c r="B45" s="9" t="inlineStr">
        <is>
          <t>Codo 2 1/2"</t>
        </is>
      </c>
      <c r="C45" s="10" t="inlineStr">
        <is>
          <t>UN</t>
        </is>
      </c>
      <c r="D45" s="10" t="n">
        <v>16</v>
      </c>
      <c r="E45" s="46" t="n">
        <v>7380</v>
      </c>
      <c r="F45" s="47">
        <f>D45*E45</f>
        <v/>
      </c>
      <c r="G45" s="39" t="n"/>
    </row>
    <row r="46">
      <c r="A46" s="8" t="inlineStr">
        <is>
          <t>2.2.28</t>
        </is>
      </c>
      <c r="B46" s="9" t="inlineStr">
        <is>
          <t>Codo 2" 90"</t>
        </is>
      </c>
      <c r="C46" s="10" t="inlineStr">
        <is>
          <t>UN</t>
        </is>
      </c>
      <c r="D46" s="10" t="n">
        <v>15</v>
      </c>
      <c r="E46" s="46" t="n">
        <v>6129</v>
      </c>
      <c r="F46" s="47">
        <f>D46*E46</f>
        <v/>
      </c>
      <c r="G46" s="39" t="n"/>
    </row>
    <row r="47">
      <c r="A47" s="8" t="inlineStr">
        <is>
          <t>2.2.29</t>
        </is>
      </c>
      <c r="B47" s="9" t="inlineStr">
        <is>
          <t>Codo 2" 45"</t>
        </is>
      </c>
      <c r="C47" s="10" t="inlineStr">
        <is>
          <t>UN</t>
        </is>
      </c>
      <c r="D47" s="10" t="n">
        <v>4</v>
      </c>
      <c r="E47" s="46" t="n">
        <v>5794</v>
      </c>
      <c r="F47" s="47">
        <f>D47*E47</f>
        <v/>
      </c>
      <c r="G47" s="39" t="n"/>
    </row>
    <row r="48">
      <c r="A48" s="8" t="inlineStr">
        <is>
          <t>2.2.30</t>
        </is>
      </c>
      <c r="B48" s="9" t="inlineStr">
        <is>
          <t>Codo 1-1/4"</t>
        </is>
      </c>
      <c r="C48" s="10" t="inlineStr">
        <is>
          <t>UN</t>
        </is>
      </c>
      <c r="D48" s="10" t="n">
        <v>4</v>
      </c>
      <c r="E48" s="46" t="n">
        <v>5645</v>
      </c>
      <c r="F48" s="47">
        <f>D48*E48</f>
        <v/>
      </c>
      <c r="G48" s="39" t="n"/>
    </row>
    <row r="49">
      <c r="A49" s="8" t="inlineStr">
        <is>
          <t>2.2.31</t>
        </is>
      </c>
      <c r="B49" s="9" t="inlineStr">
        <is>
          <t>Codo reducción 1" x 1/2"</t>
        </is>
      </c>
      <c r="C49" s="10" t="inlineStr">
        <is>
          <t>UN</t>
        </is>
      </c>
      <c r="D49" s="10" t="n">
        <v>1</v>
      </c>
      <c r="E49" s="46" t="n">
        <v>7929</v>
      </c>
      <c r="F49" s="47">
        <f>D49*E49</f>
        <v/>
      </c>
      <c r="G49" s="39" t="n"/>
    </row>
    <row r="50">
      <c r="A50" s="8" t="inlineStr">
        <is>
          <t>2.2.32</t>
        </is>
      </c>
      <c r="B50" s="9" t="inlineStr">
        <is>
          <t>Tapón 3"</t>
        </is>
      </c>
      <c r="C50" s="10" t="inlineStr">
        <is>
          <t>UN</t>
        </is>
      </c>
      <c r="D50" s="10" t="n">
        <v>1</v>
      </c>
      <c r="E50" s="46" t="n">
        <v>8182</v>
      </c>
      <c r="F50" s="47">
        <f>D50*E50</f>
        <v/>
      </c>
      <c r="G50" s="39" t="n"/>
    </row>
    <row r="51">
      <c r="A51" s="8" t="inlineStr">
        <is>
          <t>2.2.33</t>
        </is>
      </c>
      <c r="B51" s="9" t="inlineStr">
        <is>
          <t>Tapón 2 1/2"</t>
        </is>
      </c>
      <c r="C51" s="10" t="inlineStr">
        <is>
          <t>UN</t>
        </is>
      </c>
      <c r="D51" s="10" t="n">
        <v>3</v>
      </c>
      <c r="E51" s="46" t="n">
        <v>3293</v>
      </c>
      <c r="F51" s="47">
        <f>D51*E51</f>
        <v/>
      </c>
      <c r="G51" s="39" t="n"/>
    </row>
    <row r="52">
      <c r="A52" s="8" t="inlineStr">
        <is>
          <t>2.2.34</t>
        </is>
      </c>
      <c r="B52" s="9" t="inlineStr">
        <is>
          <t>Tapón 2"</t>
        </is>
      </c>
      <c r="C52" s="10" t="inlineStr">
        <is>
          <t>UN</t>
        </is>
      </c>
      <c r="D52" s="10" t="n">
        <v>3</v>
      </c>
      <c r="E52" s="46" t="n">
        <v>2013</v>
      </c>
      <c r="F52" s="47">
        <f>D52*E52</f>
        <v/>
      </c>
      <c r="G52" s="39" t="n"/>
    </row>
    <row r="53">
      <c r="A53" s="8" t="inlineStr">
        <is>
          <t>2.2.35</t>
        </is>
      </c>
      <c r="B53" s="9" t="inlineStr">
        <is>
          <t>Unión Flexible de 3 Pulg</t>
        </is>
      </c>
      <c r="C53" s="10" t="inlineStr">
        <is>
          <t>UN</t>
        </is>
      </c>
      <c r="D53" s="10" t="n">
        <v>49.6385</v>
      </c>
      <c r="E53" s="46" t="n">
        <v>6709</v>
      </c>
      <c r="F53" s="47">
        <f>D53*E53</f>
        <v/>
      </c>
      <c r="G53" s="39" t="n"/>
    </row>
    <row r="54">
      <c r="A54" s="8" t="inlineStr">
        <is>
          <t>2.2.36</t>
        </is>
      </c>
      <c r="B54" s="9" t="inlineStr">
        <is>
          <t>Unión Rígida de 3 Pulg</t>
        </is>
      </c>
      <c r="C54" s="10" t="inlineStr">
        <is>
          <t>UN</t>
        </is>
      </c>
      <c r="D54" s="10" t="n">
        <v>85</v>
      </c>
      <c r="E54" s="46" t="n">
        <v>7959</v>
      </c>
      <c r="F54" s="47">
        <f>D54*E54</f>
        <v/>
      </c>
      <c r="G54" s="39" t="n"/>
    </row>
    <row r="55">
      <c r="A55" s="8" t="inlineStr">
        <is>
          <t>2.2.37</t>
        </is>
      </c>
      <c r="B55" s="9" t="inlineStr">
        <is>
          <t>Unión Flexible de 2 1/2 Pulg</t>
        </is>
      </c>
      <c r="C55" s="10" t="inlineStr">
        <is>
          <t>UN</t>
        </is>
      </c>
      <c r="D55" s="10" t="n">
        <v>38.934</v>
      </c>
      <c r="E55" s="46" t="n">
        <v>6312</v>
      </c>
      <c r="F55" s="47">
        <f>D55*E55</f>
        <v/>
      </c>
      <c r="G55" s="39" t="n"/>
    </row>
    <row r="56">
      <c r="A56" s="8" t="inlineStr">
        <is>
          <t>2.2.38</t>
        </is>
      </c>
      <c r="B56" s="9" t="inlineStr">
        <is>
          <t>Unión Rígida de 2 1/2 Pulg</t>
        </is>
      </c>
      <c r="C56" s="10" t="inlineStr">
        <is>
          <t>UN</t>
        </is>
      </c>
      <c r="D56" s="10" t="n">
        <v>139</v>
      </c>
      <c r="E56" s="46" t="n">
        <v>6892</v>
      </c>
      <c r="F56" s="47">
        <f>D56*E56</f>
        <v/>
      </c>
      <c r="G56" s="39" t="n"/>
    </row>
    <row r="57">
      <c r="A57" s="8" t="inlineStr">
        <is>
          <t>2.2.39</t>
        </is>
      </c>
      <c r="B57" s="9" t="inlineStr">
        <is>
          <t>Unión Rígida de 2 Pulg</t>
        </is>
      </c>
      <c r="C57" s="10" t="inlineStr">
        <is>
          <t>UN</t>
        </is>
      </c>
      <c r="D57" s="10" t="n">
        <v>132</v>
      </c>
      <c r="E57" s="46" t="n">
        <v>10634</v>
      </c>
      <c r="F57" s="47">
        <f>D57*E57</f>
        <v/>
      </c>
      <c r="G57" s="39" t="n"/>
    </row>
    <row r="58">
      <c r="A58" s="12" t="inlineStr">
        <is>
          <t>2.3</t>
        </is>
      </c>
      <c r="B58" s="29" t="inlineStr">
        <is>
          <t>SOPORTES</t>
        </is>
      </c>
      <c r="C58" s="10" t="n"/>
      <c r="D58" s="10" t="n"/>
      <c r="E58" s="46" t="n"/>
      <c r="F58" s="47" t="n"/>
      <c r="G58" s="39" t="n"/>
    </row>
    <row r="59">
      <c r="A59" s="8" t="inlineStr">
        <is>
          <t>2.3.1</t>
        </is>
      </c>
      <c r="B59" s="9" t="inlineStr">
        <is>
          <t>Colgadores 3 [Pulg]</t>
        </is>
      </c>
      <c r="C59" s="10" t="inlineStr">
        <is>
          <t>UN</t>
        </is>
      </c>
      <c r="D59" s="10" t="n">
        <v>42</v>
      </c>
      <c r="E59" s="46" t="n">
        <v>945</v>
      </c>
      <c r="F59" s="47">
        <f>D59*E59</f>
        <v/>
      </c>
      <c r="G59" s="39" t="n"/>
    </row>
    <row r="60">
      <c r="A60" s="8" t="inlineStr">
        <is>
          <t>2.3.2</t>
        </is>
      </c>
      <c r="B60" s="9" t="inlineStr">
        <is>
          <t>Colgadores 2 1/2 [Pulg]</t>
        </is>
      </c>
      <c r="C60" s="10" t="inlineStr">
        <is>
          <t>UN</t>
        </is>
      </c>
      <c r="D60" s="10" t="n">
        <v>70</v>
      </c>
      <c r="E60" s="46" t="n">
        <v>823</v>
      </c>
      <c r="F60" s="47">
        <f>D60*E60</f>
        <v/>
      </c>
      <c r="G60" s="39" t="n"/>
    </row>
    <row r="61">
      <c r="A61" s="8" t="inlineStr">
        <is>
          <t>2.3.3</t>
        </is>
      </c>
      <c r="B61" s="9" t="inlineStr">
        <is>
          <t>Colgadores 2 [Pulg]</t>
        </is>
      </c>
      <c r="C61" s="10" t="inlineStr">
        <is>
          <t>UN</t>
        </is>
      </c>
      <c r="D61" s="10" t="n">
        <v>39</v>
      </c>
      <c r="E61" s="46" t="n">
        <v>671</v>
      </c>
      <c r="F61" s="47">
        <f>D61*E61</f>
        <v/>
      </c>
      <c r="G61" s="39" t="n"/>
    </row>
    <row r="62">
      <c r="A62" s="8" t="inlineStr">
        <is>
          <t>2.3.4</t>
        </is>
      </c>
      <c r="B62" s="9" t="inlineStr">
        <is>
          <t>Colgadores 1-1/2 [Pulg]</t>
        </is>
      </c>
      <c r="C62" s="10" t="inlineStr">
        <is>
          <t>UN</t>
        </is>
      </c>
      <c r="D62" s="10" t="n">
        <v>37</v>
      </c>
      <c r="E62" s="46" t="n">
        <v>671</v>
      </c>
      <c r="F62" s="47">
        <f>D62*E62</f>
        <v/>
      </c>
      <c r="G62" s="39" t="n"/>
    </row>
    <row r="63">
      <c r="A63" s="8" t="inlineStr">
        <is>
          <t>2.3.5</t>
        </is>
      </c>
      <c r="B63" s="9" t="inlineStr">
        <is>
          <t>Colgadores 1-1/4 [Pulg]</t>
        </is>
      </c>
      <c r="C63" s="10" t="inlineStr">
        <is>
          <t>UN</t>
        </is>
      </c>
      <c r="D63" s="10" t="n">
        <v>15</v>
      </c>
      <c r="E63" s="46" t="n">
        <v>640</v>
      </c>
      <c r="F63" s="47">
        <f>D63*E63</f>
        <v/>
      </c>
      <c r="G63" s="39" t="n"/>
    </row>
    <row r="64">
      <c r="A64" s="8" t="inlineStr">
        <is>
          <t>2.3.6</t>
        </is>
      </c>
      <c r="B64" s="9" t="inlineStr">
        <is>
          <t>Colgadores 1 [Pulg]</t>
        </is>
      </c>
      <c r="C64" s="10" t="inlineStr">
        <is>
          <t>UN</t>
        </is>
      </c>
      <c r="D64" s="10" t="n">
        <v>350</v>
      </c>
      <c r="E64" s="46" t="n">
        <v>549</v>
      </c>
      <c r="F64" s="47">
        <f>D64*E64</f>
        <v/>
      </c>
      <c r="G64" s="39" t="n"/>
    </row>
    <row r="65">
      <c r="A65" s="8" t="inlineStr">
        <is>
          <t>2.3.7</t>
        </is>
      </c>
      <c r="B65" s="9" t="inlineStr">
        <is>
          <t>Anclajes sísmicos longitudinales 3 [Pulg]</t>
        </is>
      </c>
      <c r="C65" s="10" t="inlineStr">
        <is>
          <t>UN</t>
        </is>
      </c>
      <c r="D65" s="10" t="n">
        <v>5</v>
      </c>
      <c r="E65" s="46" t="n">
        <v>99137</v>
      </c>
      <c r="F65" s="47">
        <f>D65*E65</f>
        <v/>
      </c>
      <c r="G65" s="39" t="n"/>
    </row>
    <row r="66">
      <c r="A66" s="8" t="inlineStr">
        <is>
          <t>2.3.8</t>
        </is>
      </c>
      <c r="B66" s="9" t="inlineStr">
        <is>
          <t>Anclajes sísmicos transversales 3 [Pulg]</t>
        </is>
      </c>
      <c r="C66" s="10" t="inlineStr">
        <is>
          <t>UN</t>
        </is>
      </c>
      <c r="D66" s="10" t="n">
        <v>5</v>
      </c>
      <c r="E66" s="46" t="n">
        <v>99137</v>
      </c>
      <c r="F66" s="47">
        <f>D66*E66</f>
        <v/>
      </c>
      <c r="G66" s="39" t="n"/>
    </row>
    <row r="67">
      <c r="A67" s="8" t="inlineStr">
        <is>
          <t>2.3.9</t>
        </is>
      </c>
      <c r="B67" s="9" t="inlineStr">
        <is>
          <t>Anclajes sísmicos longitudinales 2 1/2 [Pulg]</t>
        </is>
      </c>
      <c r="C67" s="10" t="inlineStr">
        <is>
          <t>UN</t>
        </is>
      </c>
      <c r="D67" s="10" t="n">
        <v>37</v>
      </c>
      <c r="E67" s="46" t="n">
        <v>66844</v>
      </c>
      <c r="F67" s="47">
        <f>D67*E67</f>
        <v/>
      </c>
      <c r="G67" s="39" t="n"/>
    </row>
    <row r="68">
      <c r="A68" s="8" t="inlineStr">
        <is>
          <t>2.3.10</t>
        </is>
      </c>
      <c r="B68" s="9" t="inlineStr">
        <is>
          <t>Anclajes sísmicos transversales 2 1/2 [Pulg]</t>
        </is>
      </c>
      <c r="C68" s="10" t="inlineStr">
        <is>
          <t>UN</t>
        </is>
      </c>
      <c r="D68" s="10" t="n">
        <v>42</v>
      </c>
      <c r="E68" s="46" t="n">
        <v>66844</v>
      </c>
      <c r="F68" s="47">
        <f>D68*E68</f>
        <v/>
      </c>
      <c r="G68" s="39" t="n"/>
    </row>
    <row r="69">
      <c r="A69" s="12" t="inlineStr">
        <is>
          <t>2.4</t>
        </is>
      </c>
      <c r="B69" s="29" t="inlineStr">
        <is>
          <t>VALVULAS</t>
        </is>
      </c>
      <c r="C69" s="10" t="n"/>
      <c r="D69" s="10" t="n"/>
      <c r="E69" s="46" t="n"/>
      <c r="F69" s="47" t="n"/>
      <c r="G69" s="39" t="n"/>
    </row>
    <row r="70">
      <c r="A70" s="8" t="inlineStr">
        <is>
          <t>2.4.1</t>
        </is>
      </c>
      <c r="B70" s="9" t="inlineStr">
        <is>
          <t>Válvula de Bola 1" (drenaje)</t>
        </is>
      </c>
      <c r="C70" s="10" t="inlineStr">
        <is>
          <t>UN</t>
        </is>
      </c>
      <c r="D70" s="10" t="n">
        <v>12</v>
      </c>
      <c r="E70" s="46" t="n">
        <v>29884</v>
      </c>
      <c r="F70" s="47">
        <f>D70*E70</f>
        <v/>
      </c>
      <c r="G70" s="39" t="n"/>
    </row>
    <row r="71">
      <c r="A71" s="12" t="n">
        <v>3</v>
      </c>
      <c r="B71" s="29" t="inlineStr">
        <is>
          <t>MANIFOLDS Y PERIMETRAL</t>
        </is>
      </c>
      <c r="C71" s="10" t="n"/>
      <c r="D71" s="10" t="n"/>
      <c r="E71" s="46" t="n"/>
      <c r="F71" s="47" t="n"/>
      <c r="G71" s="39" t="n"/>
    </row>
    <row r="72">
      <c r="A72" s="12" t="inlineStr">
        <is>
          <t>3.1</t>
        </is>
      </c>
      <c r="B72" s="29" t="inlineStr">
        <is>
          <t>CAÑERIAS Y FITTING</t>
        </is>
      </c>
      <c r="C72" s="10" t="n"/>
      <c r="D72" s="10" t="n"/>
      <c r="E72" s="46" t="n"/>
      <c r="F72" s="47" t="n"/>
      <c r="G72" s="39" t="n"/>
    </row>
    <row r="73">
      <c r="A73" s="8" t="inlineStr">
        <is>
          <t>3.1.1</t>
        </is>
      </c>
      <c r="B73" s="9" t="inlineStr">
        <is>
          <t>Cañería HDPE PN16 PE100 de 160mm</t>
        </is>
      </c>
      <c r="C73" s="10" t="inlineStr">
        <is>
          <t>MTS</t>
        </is>
      </c>
      <c r="D73" s="10" t="n">
        <v>88.788</v>
      </c>
      <c r="E73" s="46" t="n">
        <v>68185</v>
      </c>
      <c r="F73" s="47">
        <f>D73*E73</f>
        <v/>
      </c>
      <c r="G73" s="39" t="n"/>
    </row>
    <row r="74">
      <c r="A74" s="8" t="inlineStr">
        <is>
          <t>3.1.2</t>
        </is>
      </c>
      <c r="B74" s="9" t="inlineStr">
        <is>
          <t>Cañería de 6"</t>
        </is>
      </c>
      <c r="C74" s="10" t="inlineStr">
        <is>
          <t>MTS</t>
        </is>
      </c>
      <c r="D74" s="10" t="n">
        <v>202.692</v>
      </c>
      <c r="E74" s="46" t="n">
        <v>68185</v>
      </c>
      <c r="F74" s="47">
        <f>D74*E74</f>
        <v/>
      </c>
      <c r="G74" s="39" t="n"/>
    </row>
    <row r="75">
      <c r="A75" s="8" t="inlineStr">
        <is>
          <t>3.1.3</t>
        </is>
      </c>
      <c r="B75" s="9" t="inlineStr">
        <is>
          <t>Cañería de 4"</t>
        </is>
      </c>
      <c r="C75" s="10" t="inlineStr">
        <is>
          <t>MTS</t>
        </is>
      </c>
      <c r="D75" s="10" t="n">
        <v>6</v>
      </c>
      <c r="E75" s="46" t="n">
        <v>47144</v>
      </c>
      <c r="F75" s="47">
        <f>D75*E75</f>
        <v/>
      </c>
      <c r="G75" s="39" t="n"/>
    </row>
    <row r="76">
      <c r="A76" s="8" t="inlineStr">
        <is>
          <t>3.1.4</t>
        </is>
      </c>
      <c r="B76" s="9" t="inlineStr">
        <is>
          <t>Cañería de 2-1/2"</t>
        </is>
      </c>
      <c r="C76" s="10" t="inlineStr">
        <is>
          <t>MTS</t>
        </is>
      </c>
      <c r="D76" s="10" t="n">
        <v>18</v>
      </c>
      <c r="E76" s="46" t="n">
        <v>9514</v>
      </c>
      <c r="F76" s="47">
        <f>D76*E76</f>
        <v/>
      </c>
      <c r="G76" s="39" t="n"/>
    </row>
    <row r="77">
      <c r="A77" s="8" t="inlineStr">
        <is>
          <t>3.1.5</t>
        </is>
      </c>
      <c r="B77" s="9" t="inlineStr">
        <is>
          <t>Cañería de 3"</t>
        </is>
      </c>
      <c r="C77" s="10" t="inlineStr">
        <is>
          <t>MTS</t>
        </is>
      </c>
      <c r="D77" s="10" t="n">
        <v>24</v>
      </c>
      <c r="E77" s="46" t="n">
        <v>37777</v>
      </c>
      <c r="F77" s="47">
        <f>D77*E77</f>
        <v/>
      </c>
      <c r="G77" s="39" t="n"/>
    </row>
    <row r="78">
      <c r="A78" s="8" t="inlineStr">
        <is>
          <t>3.1.6</t>
        </is>
      </c>
      <c r="B78" s="9" t="inlineStr">
        <is>
          <t>Cañería de 2"</t>
        </is>
      </c>
      <c r="C78" s="10" t="inlineStr">
        <is>
          <t>MTS</t>
        </is>
      </c>
      <c r="D78" s="10" t="n">
        <v>18</v>
      </c>
      <c r="E78" s="46" t="n">
        <v>17092</v>
      </c>
      <c r="F78" s="47">
        <f>D78*E78</f>
        <v/>
      </c>
      <c r="G78" s="39" t="n"/>
    </row>
    <row r="79">
      <c r="A79" s="8" t="inlineStr">
        <is>
          <t>3.1.7</t>
        </is>
      </c>
      <c r="B79" s="9" t="inlineStr">
        <is>
          <t>Cañería de 1 1/4"</t>
        </is>
      </c>
      <c r="C79" s="10" t="inlineStr">
        <is>
          <t>MTS</t>
        </is>
      </c>
      <c r="D79" s="10" t="n">
        <v>16</v>
      </c>
      <c r="E79" s="46" t="n">
        <v>4608</v>
      </c>
      <c r="F79" s="47">
        <f>D79*E79</f>
        <v/>
      </c>
      <c r="G79" s="39" t="n"/>
    </row>
    <row r="80">
      <c r="A80" s="8" t="inlineStr">
        <is>
          <t>3.1.8</t>
        </is>
      </c>
      <c r="B80" s="9" t="inlineStr">
        <is>
          <t>Tee HDPE PN16 de 160x160x160mm</t>
        </is>
      </c>
      <c r="C80" s="10" t="inlineStr">
        <is>
          <t>UN</t>
        </is>
      </c>
      <c r="D80" s="10" t="n">
        <v>4</v>
      </c>
      <c r="E80" s="46" t="n">
        <v>155007</v>
      </c>
      <c r="F80" s="47">
        <f>D80*E80</f>
        <v/>
      </c>
      <c r="G80" s="39" t="n"/>
    </row>
    <row r="81">
      <c r="A81" s="8" t="inlineStr">
        <is>
          <t>3.1.9</t>
        </is>
      </c>
      <c r="B81" s="9" t="inlineStr">
        <is>
          <t>Tee de 2"</t>
        </is>
      </c>
      <c r="C81" s="10" t="inlineStr">
        <is>
          <t>UN</t>
        </is>
      </c>
      <c r="D81" s="10" t="n">
        <v>12</v>
      </c>
      <c r="E81" s="46" t="n">
        <v>19050</v>
      </c>
      <c r="F81" s="47">
        <f>D81*E81</f>
        <v/>
      </c>
      <c r="G81" s="39" t="n"/>
    </row>
    <row r="82">
      <c r="A82" s="8" t="inlineStr">
        <is>
          <t>3.1.10</t>
        </is>
      </c>
      <c r="B82" s="9" t="inlineStr">
        <is>
          <t>Tee Mecánica 6" x 3"</t>
        </is>
      </c>
      <c r="C82" s="10" t="inlineStr">
        <is>
          <t>UN</t>
        </is>
      </c>
      <c r="D82" s="10" t="n">
        <v>8</v>
      </c>
      <c r="E82" s="46" t="n">
        <v>138217</v>
      </c>
      <c r="F82" s="47">
        <f>D82*E82</f>
        <v/>
      </c>
      <c r="G82" s="39" t="n"/>
    </row>
    <row r="83">
      <c r="A83" s="8" t="inlineStr">
        <is>
          <t>3.1.11</t>
        </is>
      </c>
      <c r="B83" s="9" t="inlineStr">
        <is>
          <t>Tee Mecánica 6" x 2-1/2"</t>
        </is>
      </c>
      <c r="C83" s="10" t="inlineStr">
        <is>
          <t>UN</t>
        </is>
      </c>
      <c r="D83" s="10" t="n">
        <v>6</v>
      </c>
      <c r="E83" s="46" t="n">
        <v>130054</v>
      </c>
      <c r="F83" s="47">
        <f>D83*E83</f>
        <v/>
      </c>
      <c r="G83" s="39" t="n"/>
    </row>
    <row r="84">
      <c r="A84" s="8" t="inlineStr">
        <is>
          <t>3.1.12</t>
        </is>
      </c>
      <c r="B84" s="9" t="inlineStr">
        <is>
          <t>Tee Mecánica 6" x 4"</t>
        </is>
      </c>
      <c r="C84" s="10" t="inlineStr">
        <is>
          <t>UN</t>
        </is>
      </c>
      <c r="D84" s="10" t="n">
        <v>2</v>
      </c>
      <c r="E84" s="46" t="n">
        <v>139784</v>
      </c>
      <c r="F84" s="47">
        <f>D84*E84</f>
        <v/>
      </c>
      <c r="G84" s="39" t="n"/>
    </row>
    <row r="85">
      <c r="A85" s="8" t="inlineStr">
        <is>
          <t>3.1.13</t>
        </is>
      </c>
      <c r="B85" s="9" t="inlineStr">
        <is>
          <t>Codo HDPE PN16 de 160mm</t>
        </is>
      </c>
      <c r="C85" s="10" t="inlineStr">
        <is>
          <t>UN</t>
        </is>
      </c>
      <c r="D85" s="10" t="n">
        <v>10</v>
      </c>
      <c r="E85" s="46" t="n">
        <v>121971</v>
      </c>
      <c r="F85" s="47">
        <f>D85*E85</f>
        <v/>
      </c>
      <c r="G85" s="39" t="n"/>
    </row>
    <row r="86">
      <c r="A86" s="8" t="inlineStr">
        <is>
          <t>3.1.14</t>
        </is>
      </c>
      <c r="B86" s="9" t="inlineStr">
        <is>
          <t>Codo 6"</t>
        </is>
      </c>
      <c r="C86" s="10" t="inlineStr">
        <is>
          <t>UN</t>
        </is>
      </c>
      <c r="D86" s="10" t="n">
        <v>16</v>
      </c>
      <c r="E86" s="46" t="n">
        <v>121971</v>
      </c>
      <c r="F86" s="47">
        <f>D86*E86</f>
        <v/>
      </c>
      <c r="G86" s="39" t="n"/>
    </row>
    <row r="87">
      <c r="A87" s="8" t="inlineStr">
        <is>
          <t>3.1.15</t>
        </is>
      </c>
      <c r="B87" s="9" t="inlineStr">
        <is>
          <t>Codo 4"</t>
        </is>
      </c>
      <c r="C87" s="10" t="inlineStr">
        <is>
          <t>UN</t>
        </is>
      </c>
      <c r="D87" s="10" t="n">
        <v>2</v>
      </c>
      <c r="E87" s="46" t="n">
        <v>58554</v>
      </c>
      <c r="F87" s="47">
        <f>D87*E87</f>
        <v/>
      </c>
      <c r="G87" s="39" t="n"/>
    </row>
    <row r="88">
      <c r="A88" s="8" t="inlineStr">
        <is>
          <t>3.1.16</t>
        </is>
      </c>
      <c r="B88" s="9" t="inlineStr">
        <is>
          <t>Codo 3"</t>
        </is>
      </c>
      <c r="C88" s="10" t="inlineStr">
        <is>
          <t>UN</t>
        </is>
      </c>
      <c r="D88" s="10" t="n">
        <v>8</v>
      </c>
      <c r="E88" s="46" t="n">
        <v>28948</v>
      </c>
      <c r="F88" s="47">
        <f>D88*E88</f>
        <v/>
      </c>
      <c r="G88" s="39" t="n"/>
    </row>
    <row r="89">
      <c r="A89" s="8" t="inlineStr">
        <is>
          <t>3.1.17</t>
        </is>
      </c>
      <c r="B89" s="9" t="inlineStr">
        <is>
          <t>Codo 2-1/2"</t>
        </is>
      </c>
      <c r="C89" s="10" t="inlineStr">
        <is>
          <t>UN</t>
        </is>
      </c>
      <c r="D89" s="10" t="n">
        <v>11</v>
      </c>
      <c r="E89" s="46" t="n">
        <v>21296</v>
      </c>
      <c r="F89" s="47">
        <f>D89*E89</f>
        <v/>
      </c>
      <c r="G89" s="39" t="n"/>
    </row>
    <row r="90">
      <c r="A90" s="8" t="inlineStr">
        <is>
          <t>3.1.18</t>
        </is>
      </c>
      <c r="B90" s="9" t="inlineStr">
        <is>
          <t>Codo 2"</t>
        </is>
      </c>
      <c r="C90" s="10" t="inlineStr">
        <is>
          <t>UN</t>
        </is>
      </c>
      <c r="D90" s="10" t="n">
        <v>13</v>
      </c>
      <c r="E90" s="46" t="n">
        <v>15210</v>
      </c>
      <c r="F90" s="47">
        <f>D90*E90</f>
        <v/>
      </c>
      <c r="G90" s="39" t="n"/>
    </row>
    <row r="91">
      <c r="A91" s="8" t="inlineStr">
        <is>
          <t>3.1.19</t>
        </is>
      </c>
      <c r="B91" s="9" t="inlineStr">
        <is>
          <t>Tapón 6"</t>
        </is>
      </c>
      <c r="C91" s="10" t="inlineStr">
        <is>
          <t>UN</t>
        </is>
      </c>
      <c r="D91" s="10" t="n">
        <v>4</v>
      </c>
      <c r="E91" s="46" t="n">
        <v>112902</v>
      </c>
      <c r="F91" s="47">
        <f>D91*E91</f>
        <v/>
      </c>
      <c r="G91" s="39" t="n"/>
    </row>
    <row r="92">
      <c r="A92" s="8" t="inlineStr">
        <is>
          <t>3.1.20</t>
        </is>
      </c>
      <c r="B92" s="9" t="inlineStr">
        <is>
          <t>Reducción 2" x 1 1/4"</t>
        </is>
      </c>
      <c r="C92" s="10" t="inlineStr">
        <is>
          <t>UN</t>
        </is>
      </c>
      <c r="D92" s="10" t="n">
        <v>1</v>
      </c>
      <c r="E92" s="46" t="n">
        <v>17760</v>
      </c>
      <c r="F92" s="47">
        <f>D92*E92</f>
        <v/>
      </c>
      <c r="G92" s="39" t="n"/>
    </row>
    <row r="93">
      <c r="A93" s="8" t="inlineStr">
        <is>
          <t>3.1.21</t>
        </is>
      </c>
      <c r="B93" s="9" t="inlineStr">
        <is>
          <t>Unión Flexible de 6 Pulg</t>
        </is>
      </c>
      <c r="C93" s="10" t="inlineStr">
        <is>
          <t>UN</t>
        </is>
      </c>
      <c r="D93" s="10" t="n">
        <v>127.765</v>
      </c>
      <c r="E93" s="46" t="n">
        <v>22871</v>
      </c>
      <c r="F93" s="47">
        <f>D93*E93</f>
        <v/>
      </c>
      <c r="G93" s="39" t="n"/>
    </row>
    <row r="94">
      <c r="A94" s="8" t="inlineStr">
        <is>
          <t>3.1.22</t>
        </is>
      </c>
      <c r="B94" s="9" t="inlineStr">
        <is>
          <t>Unión Flexible de 4 Pulg</t>
        </is>
      </c>
      <c r="C94" s="10" t="inlineStr">
        <is>
          <t>UN</t>
        </is>
      </c>
      <c r="D94" s="10" t="n">
        <v>10</v>
      </c>
      <c r="E94" s="46" t="n">
        <v>12625</v>
      </c>
      <c r="F94" s="47">
        <f>D94*E94</f>
        <v/>
      </c>
      <c r="G94" s="39" t="n"/>
    </row>
    <row r="95">
      <c r="A95" s="8" t="inlineStr">
        <is>
          <t>3.1.23</t>
        </is>
      </c>
      <c r="B95" s="9" t="inlineStr">
        <is>
          <t>Unión Flexible de 3 Pulg</t>
        </is>
      </c>
      <c r="C95" s="10" t="inlineStr">
        <is>
          <t>UN</t>
        </is>
      </c>
      <c r="D95" s="10" t="n">
        <v>40</v>
      </c>
      <c r="E95" s="46" t="n">
        <v>6709</v>
      </c>
      <c r="F95" s="47">
        <f>D95*E95</f>
        <v/>
      </c>
      <c r="G95" s="39" t="n"/>
    </row>
    <row r="96">
      <c r="A96" s="8" t="inlineStr">
        <is>
          <t>3.1.24</t>
        </is>
      </c>
      <c r="B96" s="9" t="inlineStr">
        <is>
          <t>Unión Flexible de 2-1/2 Pulg</t>
        </is>
      </c>
      <c r="C96" s="10" t="inlineStr">
        <is>
          <t>UN</t>
        </is>
      </c>
      <c r="D96" s="10" t="n">
        <v>31</v>
      </c>
      <c r="E96" s="46" t="n">
        <v>6312</v>
      </c>
      <c r="F96" s="47">
        <f>D96*E96</f>
        <v/>
      </c>
      <c r="G96" s="39" t="n"/>
    </row>
    <row r="97">
      <c r="A97" s="8" t="inlineStr">
        <is>
          <t>3.1.25</t>
        </is>
      </c>
      <c r="B97" s="9" t="inlineStr">
        <is>
          <t>Unión Rígida de 6 Pulg</t>
        </is>
      </c>
      <c r="C97" s="10" t="inlineStr">
        <is>
          <t>UN</t>
        </is>
      </c>
      <c r="D97" s="10" t="n">
        <v>8</v>
      </c>
      <c r="E97" s="46" t="n">
        <v>22871</v>
      </c>
      <c r="F97" s="47">
        <f>D97*E97</f>
        <v/>
      </c>
      <c r="G97" s="39" t="n"/>
    </row>
    <row r="98">
      <c r="A98" s="8" t="inlineStr">
        <is>
          <t>3.1.26</t>
        </is>
      </c>
      <c r="B98" s="9" t="inlineStr">
        <is>
          <t>Unión Rígida de 4 Pulg</t>
        </is>
      </c>
      <c r="C98" s="10" t="inlineStr">
        <is>
          <t>UN</t>
        </is>
      </c>
      <c r="D98" s="10" t="n">
        <v>2</v>
      </c>
      <c r="E98" s="46" t="n">
        <v>12625</v>
      </c>
      <c r="F98" s="47">
        <f>D98*E98</f>
        <v/>
      </c>
      <c r="G98" s="39" t="n"/>
    </row>
    <row r="99">
      <c r="A99" s="8" t="inlineStr">
        <is>
          <t>3.1.27</t>
        </is>
      </c>
      <c r="B99" s="9" t="inlineStr">
        <is>
          <t>Unión Rígida de 3 Pulg</t>
        </is>
      </c>
      <c r="C99" s="10" t="inlineStr">
        <is>
          <t>UN</t>
        </is>
      </c>
      <c r="D99" s="10" t="n">
        <v>8</v>
      </c>
      <c r="E99" s="46" t="n">
        <v>7959</v>
      </c>
      <c r="F99" s="47">
        <f>D99*E99</f>
        <v/>
      </c>
      <c r="G99" s="39" t="n"/>
    </row>
    <row r="100">
      <c r="A100" s="8" t="inlineStr">
        <is>
          <t>3.1.28</t>
        </is>
      </c>
      <c r="B100" s="9" t="inlineStr">
        <is>
          <t>Unión Rígida de 2-1/2 Pulg</t>
        </is>
      </c>
      <c r="C100" s="10" t="inlineStr">
        <is>
          <t>UN</t>
        </is>
      </c>
      <c r="D100" s="10" t="n">
        <v>6</v>
      </c>
      <c r="E100" s="46" t="n">
        <v>6892</v>
      </c>
      <c r="F100" s="47">
        <f>D100*E100</f>
        <v/>
      </c>
      <c r="G100" s="39" t="n"/>
    </row>
    <row r="101">
      <c r="A101" s="8" t="inlineStr">
        <is>
          <t>3.1.29</t>
        </is>
      </c>
      <c r="B101" s="9" t="inlineStr">
        <is>
          <t>Niple tuerca de 2"</t>
        </is>
      </c>
      <c r="C101" s="10" t="inlineStr">
        <is>
          <t>UN</t>
        </is>
      </c>
      <c r="D101" s="10" t="n">
        <v>4</v>
      </c>
      <c r="E101" s="46" t="n">
        <v>4344</v>
      </c>
      <c r="F101" s="47">
        <f>D101*E101</f>
        <v/>
      </c>
      <c r="G101" s="39" t="n"/>
    </row>
    <row r="102">
      <c r="A102" s="8" t="inlineStr">
        <is>
          <t>3.1.30</t>
        </is>
      </c>
      <c r="B102" s="9" t="inlineStr">
        <is>
          <t>Copia Storz de 2"</t>
        </is>
      </c>
      <c r="C102" s="10" t="inlineStr">
        <is>
          <t>UN</t>
        </is>
      </c>
      <c r="D102" s="10" t="n">
        <v>4</v>
      </c>
      <c r="E102" s="46" t="n">
        <v>36135</v>
      </c>
      <c r="F102" s="47">
        <f>D102*E102</f>
        <v/>
      </c>
      <c r="G102" s="39" t="n"/>
    </row>
    <row r="103">
      <c r="A103" s="8" t="inlineStr">
        <is>
          <t>3.1.31</t>
        </is>
      </c>
      <c r="B103" s="9" t="inlineStr">
        <is>
          <t>Sub-end de 160mm</t>
        </is>
      </c>
      <c r="C103" s="10" t="inlineStr">
        <is>
          <t>UN</t>
        </is>
      </c>
      <c r="D103" s="10" t="n">
        <v>8</v>
      </c>
      <c r="E103" s="46" t="n">
        <v>42109</v>
      </c>
      <c r="F103" s="47">
        <f>D103*E103</f>
        <v/>
      </c>
      <c r="G103" s="39" t="n"/>
    </row>
    <row r="104">
      <c r="A104" s="8" t="inlineStr">
        <is>
          <t>3.1.32</t>
        </is>
      </c>
      <c r="B104" s="9" t="inlineStr">
        <is>
          <t>Flange Valante DIN 6"</t>
        </is>
      </c>
      <c r="C104" s="10" t="inlineStr">
        <is>
          <t>UN</t>
        </is>
      </c>
      <c r="D104" s="10" t="n">
        <v>8</v>
      </c>
      <c r="E104" s="46" t="n">
        <v>57753</v>
      </c>
      <c r="F104" s="47">
        <f>D104*E104</f>
        <v/>
      </c>
      <c r="G104" s="39" t="n"/>
    </row>
    <row r="105">
      <c r="A105" s="8" t="inlineStr">
        <is>
          <t>3.1.33</t>
        </is>
      </c>
      <c r="B105" s="9" t="inlineStr">
        <is>
          <t>Empaquetadura</t>
        </is>
      </c>
      <c r="C105" s="10" t="inlineStr">
        <is>
          <t>UN</t>
        </is>
      </c>
      <c r="D105" s="10" t="n">
        <v>8</v>
      </c>
      <c r="E105" s="46" t="n">
        <v>2283</v>
      </c>
      <c r="F105" s="47">
        <f>D105*E105</f>
        <v/>
      </c>
      <c r="G105" s="39" t="n"/>
    </row>
    <row r="106">
      <c r="A106" s="8" t="inlineStr">
        <is>
          <t>3.1.34</t>
        </is>
      </c>
      <c r="B106" s="9" t="inlineStr">
        <is>
          <t>Flange Acero Slip-on</t>
        </is>
      </c>
      <c r="C106" s="10" t="inlineStr">
        <is>
          <t>UN</t>
        </is>
      </c>
      <c r="D106" s="10" t="n">
        <v>8</v>
      </c>
      <c r="E106" s="46" t="n">
        <v>24452</v>
      </c>
      <c r="F106" s="47">
        <f>D106*E106</f>
        <v/>
      </c>
      <c r="G106" s="39" t="n"/>
    </row>
    <row r="107">
      <c r="A107" s="12" t="inlineStr">
        <is>
          <t>3.2</t>
        </is>
      </c>
      <c r="B107" s="29" t="inlineStr">
        <is>
          <t>SOPORTES</t>
        </is>
      </c>
      <c r="C107" s="10" t="n"/>
      <c r="D107" s="10" t="n"/>
      <c r="E107" s="46" t="n"/>
      <c r="F107" s="47" t="n"/>
      <c r="G107" s="39" t="n"/>
    </row>
    <row r="108">
      <c r="A108" s="8" t="inlineStr">
        <is>
          <t>3.2.1</t>
        </is>
      </c>
      <c r="B108" s="9" t="inlineStr">
        <is>
          <t>Anclajes sísmicos longitudinales 6 [Pulg]</t>
        </is>
      </c>
      <c r="C108" s="10" t="inlineStr">
        <is>
          <t>UN</t>
        </is>
      </c>
      <c r="D108" s="10" t="n">
        <v>4</v>
      </c>
      <c r="E108" s="46" t="n">
        <v>133485</v>
      </c>
      <c r="F108" s="47">
        <f>D108*E108</f>
        <v/>
      </c>
      <c r="G108" s="39" t="n"/>
    </row>
    <row r="109">
      <c r="A109" s="8" t="inlineStr">
        <is>
          <t>3.2.2</t>
        </is>
      </c>
      <c r="B109" s="9" t="inlineStr">
        <is>
          <t>Anclajes sísmicos transversales 6 [Pulg]</t>
        </is>
      </c>
      <c r="C109" s="10" t="inlineStr">
        <is>
          <t>UN</t>
        </is>
      </c>
      <c r="D109" s="10" t="n">
        <v>4</v>
      </c>
      <c r="E109" s="46" t="n">
        <v>133485</v>
      </c>
      <c r="F109" s="47">
        <f>D109*E109</f>
        <v/>
      </c>
      <c r="G109" s="39" t="n"/>
    </row>
    <row r="110">
      <c r="A110" s="8" t="inlineStr">
        <is>
          <t>3.2.3</t>
        </is>
      </c>
      <c r="B110" s="9" t="inlineStr">
        <is>
          <t>Anclajes sísmicos longitudinales 4 [Pulg] Riser</t>
        </is>
      </c>
      <c r="C110" s="10" t="inlineStr">
        <is>
          <t>UN</t>
        </is>
      </c>
      <c r="D110" s="10" t="n">
        <v>1</v>
      </c>
      <c r="E110" s="46" t="n">
        <v>131277</v>
      </c>
      <c r="F110" s="47">
        <f>D110*E110</f>
        <v/>
      </c>
      <c r="G110" s="39" t="n"/>
    </row>
    <row r="111">
      <c r="A111" s="8" t="inlineStr">
        <is>
          <t>3.2.4</t>
        </is>
      </c>
      <c r="B111" s="9" t="inlineStr">
        <is>
          <t>Anclajes sísmicos transversales 4 [Pulg] Riser</t>
        </is>
      </c>
      <c r="C111" s="10" t="inlineStr">
        <is>
          <t>UN</t>
        </is>
      </c>
      <c r="D111" s="10" t="n">
        <v>2</v>
      </c>
      <c r="E111" s="46" t="n">
        <v>131277</v>
      </c>
      <c r="F111" s="47">
        <f>D111*E111</f>
        <v/>
      </c>
      <c r="G111" s="39" t="n"/>
    </row>
    <row r="112">
      <c r="A112" s="8" t="inlineStr">
        <is>
          <t>3.2.5</t>
        </is>
      </c>
      <c r="B112" s="9" t="inlineStr">
        <is>
          <t>Anclajes sísmicos longitudinales 3 [Pulg] Riser</t>
        </is>
      </c>
      <c r="C112" s="10" t="inlineStr">
        <is>
          <t>UN</t>
        </is>
      </c>
      <c r="D112" s="10" t="n">
        <v>1</v>
      </c>
      <c r="E112" s="46" t="n">
        <v>126613</v>
      </c>
      <c r="F112" s="47">
        <f>D112*E112</f>
        <v/>
      </c>
      <c r="G112" s="39" t="n"/>
    </row>
    <row r="113">
      <c r="A113" s="8" t="inlineStr">
        <is>
          <t>3.2.6</t>
        </is>
      </c>
      <c r="B113" s="9" t="inlineStr">
        <is>
          <t>Anclajes sísmicos transversales 3 [Pulg] Riser</t>
        </is>
      </c>
      <c r="C113" s="10" t="inlineStr">
        <is>
          <t>UN</t>
        </is>
      </c>
      <c r="D113" s="10" t="n">
        <v>8</v>
      </c>
      <c r="E113" s="46" t="n">
        <v>126613</v>
      </c>
      <c r="F113" s="47">
        <f>D113*E113</f>
        <v/>
      </c>
      <c r="G113" s="39" t="n"/>
    </row>
    <row r="114">
      <c r="A114" s="8" t="inlineStr">
        <is>
          <t>3.2.7</t>
        </is>
      </c>
      <c r="B114" s="9" t="inlineStr">
        <is>
          <t>Anclajes sísmicos longitudinales 2-1/2 [Pulg] Riser</t>
        </is>
      </c>
      <c r="C114" s="10" t="inlineStr">
        <is>
          <t>UN</t>
        </is>
      </c>
      <c r="D114" s="10" t="n">
        <v>1</v>
      </c>
      <c r="E114" s="46" t="n">
        <v>66844</v>
      </c>
      <c r="F114" s="47">
        <f>D114*E114</f>
        <v/>
      </c>
      <c r="G114" s="39" t="n"/>
    </row>
    <row r="115">
      <c r="A115" s="8" t="inlineStr">
        <is>
          <t>3.2.8</t>
        </is>
      </c>
      <c r="B115" s="9" t="inlineStr">
        <is>
          <t>Anclajes sísmicos transversales 2-1/2 [Pulg] Riser</t>
        </is>
      </c>
      <c r="C115" s="10" t="inlineStr">
        <is>
          <t>UN</t>
        </is>
      </c>
      <c r="D115" s="10" t="n">
        <v>6</v>
      </c>
      <c r="E115" s="46" t="n">
        <v>66844</v>
      </c>
      <c r="F115" s="47">
        <f>D115*E115</f>
        <v/>
      </c>
      <c r="G115" s="39" t="n"/>
    </row>
    <row r="116">
      <c r="A116" s="12" t="inlineStr">
        <is>
          <t>3.3</t>
        </is>
      </c>
      <c r="B116" s="29" t="inlineStr">
        <is>
          <t>VALVULAS</t>
        </is>
      </c>
      <c r="C116" s="10" t="n"/>
      <c r="D116" s="10" t="n"/>
      <c r="E116" s="46" t="n"/>
      <c r="F116" s="47" t="n"/>
      <c r="G116" s="39" t="n"/>
    </row>
    <row r="117">
      <c r="A117" s="8" t="inlineStr">
        <is>
          <t>3.3.1</t>
        </is>
      </c>
      <c r="B117" s="9" t="inlineStr">
        <is>
          <t>Válvula de Mariposa 4"</t>
        </is>
      </c>
      <c r="C117" s="10" t="inlineStr">
        <is>
          <t>UN</t>
        </is>
      </c>
      <c r="D117" s="10" t="n">
        <v>2</v>
      </c>
      <c r="E117" s="46" t="n">
        <v>362913</v>
      </c>
      <c r="F117" s="47">
        <f>D117*E117</f>
        <v/>
      </c>
      <c r="G117" s="39" t="n"/>
    </row>
    <row r="118">
      <c r="A118" s="8" t="inlineStr">
        <is>
          <t>3.3.2</t>
        </is>
      </c>
      <c r="B118" s="9" t="inlineStr">
        <is>
          <t>Válvula de Mariposa 3"</t>
        </is>
      </c>
      <c r="C118" s="10" t="inlineStr">
        <is>
          <t>UN</t>
        </is>
      </c>
      <c r="D118" s="10" t="n">
        <v>8</v>
      </c>
      <c r="E118" s="46" t="n">
        <v>358369</v>
      </c>
      <c r="F118" s="47">
        <f>D118*E118</f>
        <v/>
      </c>
      <c r="G118" s="39" t="n"/>
    </row>
    <row r="119">
      <c r="A119" s="8" t="inlineStr">
        <is>
          <t>3.3.3</t>
        </is>
      </c>
      <c r="B119" s="9" t="inlineStr">
        <is>
          <t>Válvula de Mariposa 2-1/2"</t>
        </is>
      </c>
      <c r="C119" s="10" t="inlineStr">
        <is>
          <t>UN</t>
        </is>
      </c>
      <c r="D119" s="10" t="n">
        <v>6</v>
      </c>
      <c r="E119" s="46" t="n">
        <v>332998</v>
      </c>
      <c r="F119" s="47">
        <f>D119*E119</f>
        <v/>
      </c>
      <c r="G119" s="39" t="n"/>
    </row>
    <row r="120">
      <c r="A120" s="8" t="inlineStr">
        <is>
          <t>3.3.4</t>
        </is>
      </c>
      <c r="B120" s="9" t="inlineStr">
        <is>
          <t>Válvula de Alarma 3"</t>
        </is>
      </c>
      <c r="C120" s="10" t="inlineStr">
        <is>
          <t>UN</t>
        </is>
      </c>
      <c r="D120" s="10" t="n">
        <v>8</v>
      </c>
      <c r="E120" s="46" t="n">
        <v>379247</v>
      </c>
      <c r="F120" s="47">
        <f>D120*E120</f>
        <v/>
      </c>
      <c r="G120" s="39" t="n"/>
    </row>
    <row r="121">
      <c r="A121" s="8" t="inlineStr">
        <is>
          <t>3.3.5</t>
        </is>
      </c>
      <c r="B121" s="9" t="inlineStr">
        <is>
          <t>Válvula de Alarma 2-1/2"</t>
        </is>
      </c>
      <c r="C121" s="10" t="inlineStr">
        <is>
          <t>UN</t>
        </is>
      </c>
      <c r="D121" s="10" t="n">
        <v>3</v>
      </c>
      <c r="E121" s="46" t="n">
        <v>688034</v>
      </c>
      <c r="F121" s="47">
        <f>D121*E121</f>
        <v/>
      </c>
      <c r="G121" s="39" t="n"/>
    </row>
    <row r="122">
      <c r="A122" s="8" t="inlineStr">
        <is>
          <t>3.3.6</t>
        </is>
      </c>
      <c r="B122" s="9" t="inlineStr">
        <is>
          <t>Válvula Check Riser 4"</t>
        </is>
      </c>
      <c r="C122" s="10" t="inlineStr">
        <is>
          <t>UN</t>
        </is>
      </c>
      <c r="D122" s="10" t="n">
        <v>2</v>
      </c>
      <c r="E122" s="46" t="n">
        <v>1491047</v>
      </c>
      <c r="F122" s="47">
        <f>D122*E122</f>
        <v/>
      </c>
      <c r="G122" s="39" t="n"/>
    </row>
    <row r="123">
      <c r="A123" s="8" t="inlineStr">
        <is>
          <t>3.3.7</t>
        </is>
      </c>
      <c r="B123" s="9" t="inlineStr">
        <is>
          <t>Válvula Check Riser 2-1/2"</t>
        </is>
      </c>
      <c r="C123" s="10" t="inlineStr">
        <is>
          <t>UN</t>
        </is>
      </c>
      <c r="D123" s="10" t="n">
        <v>2</v>
      </c>
      <c r="E123" s="46" t="n">
        <v>1132015</v>
      </c>
      <c r="F123" s="47">
        <f>D123*E123</f>
        <v/>
      </c>
      <c r="G123" s="39" t="n"/>
    </row>
    <row r="124">
      <c r="A124" s="8" t="inlineStr">
        <is>
          <t>3.3.8</t>
        </is>
      </c>
      <c r="B124" s="9" t="inlineStr">
        <is>
          <t>Válvula Check DV-5 2-1/2"</t>
        </is>
      </c>
      <c r="C124" s="10" t="inlineStr">
        <is>
          <t>UN</t>
        </is>
      </c>
      <c r="D124" s="10" t="n">
        <v>1</v>
      </c>
      <c r="E124" s="46" t="n">
        <v>211596</v>
      </c>
      <c r="F124" s="47">
        <f>D124*E124</f>
        <v/>
      </c>
      <c r="G124" s="39" t="n"/>
    </row>
    <row r="125">
      <c r="A125" s="8" t="inlineStr">
        <is>
          <t>3.3.9</t>
        </is>
      </c>
      <c r="B125" s="9" t="inlineStr">
        <is>
          <t>Válvula de Prueba y Drenaje 1 1/4"</t>
        </is>
      </c>
      <c r="C125" s="10" t="inlineStr">
        <is>
          <t>UN</t>
        </is>
      </c>
      <c r="D125" s="10" t="n">
        <v>11</v>
      </c>
      <c r="E125" s="46" t="n">
        <v>376954</v>
      </c>
      <c r="F125" s="47">
        <f>D125*E125</f>
        <v/>
      </c>
      <c r="G125" s="39" t="n"/>
    </row>
    <row r="126">
      <c r="A126" s="8" t="inlineStr">
        <is>
          <t>3.3.10</t>
        </is>
      </c>
      <c r="B126" s="9" t="inlineStr">
        <is>
          <t>Sensor de Flujo 4"</t>
        </is>
      </c>
      <c r="C126" s="10" t="inlineStr">
        <is>
          <t>UN</t>
        </is>
      </c>
      <c r="D126" s="10" t="n">
        <v>2</v>
      </c>
      <c r="E126" s="46" t="n"/>
      <c r="F126" s="47">
        <f>D126*E126</f>
        <v/>
      </c>
      <c r="G126" s="39" t="inlineStr">
        <is>
          <t>SI</t>
        </is>
      </c>
    </row>
    <row r="127">
      <c r="A127" s="8" t="inlineStr">
        <is>
          <t>3.3.11</t>
        </is>
      </c>
      <c r="B127" s="9" t="inlineStr">
        <is>
          <t>Sensor de Flujo 3"</t>
        </is>
      </c>
      <c r="C127" s="10" t="inlineStr">
        <is>
          <t>UN</t>
        </is>
      </c>
      <c r="D127" s="10" t="n">
        <v>8</v>
      </c>
      <c r="E127" s="46" t="n">
        <v>370560</v>
      </c>
      <c r="F127" s="47">
        <f>D127*E127</f>
        <v/>
      </c>
      <c r="G127" s="39" t="n"/>
    </row>
    <row r="128">
      <c r="A128" s="8" t="inlineStr">
        <is>
          <t>3.3.12</t>
        </is>
      </c>
      <c r="B128" s="9" t="inlineStr">
        <is>
          <t>Sensor de Flujo 2-1/2"</t>
        </is>
      </c>
      <c r="C128" s="10" t="inlineStr">
        <is>
          <t>UN</t>
        </is>
      </c>
      <c r="D128" s="10" t="n">
        <v>6</v>
      </c>
      <c r="E128" s="46" t="n">
        <v>688034</v>
      </c>
      <c r="F128" s="47">
        <f>D128*E128</f>
        <v/>
      </c>
      <c r="G128" s="39" t="n"/>
    </row>
    <row r="129">
      <c r="A129" s="12" t="n">
        <v>4</v>
      </c>
      <c r="B129" s="29" t="inlineStr">
        <is>
          <t>SISTEMA DE RED HUMEDA</t>
        </is>
      </c>
      <c r="C129" s="10" t="n"/>
      <c r="D129" s="10" t="n"/>
      <c r="E129" s="46" t="n"/>
      <c r="F129" s="47" t="n"/>
      <c r="G129" s="39" t="n"/>
    </row>
    <row r="130">
      <c r="A130" s="12" t="inlineStr">
        <is>
          <t>4.1</t>
        </is>
      </c>
      <c r="B130" s="29" t="inlineStr">
        <is>
          <t>CAÑERIAS Y FITTING</t>
        </is>
      </c>
      <c r="C130" s="10" t="n"/>
      <c r="D130" s="10" t="n"/>
      <c r="E130" s="46" t="n"/>
      <c r="F130" s="47" t="n"/>
      <c r="G130" s="39" t="n"/>
    </row>
    <row r="131">
      <c r="A131" s="8" t="inlineStr">
        <is>
          <t>4.1.1</t>
        </is>
      </c>
      <c r="B131" s="9" t="inlineStr">
        <is>
          <t>Cañería de 3"</t>
        </is>
      </c>
      <c r="C131" s="10" t="inlineStr">
        <is>
          <t>MTS</t>
        </is>
      </c>
      <c r="D131" s="10" t="n">
        <v>207.403</v>
      </c>
      <c r="E131" s="46" t="n">
        <v>37777</v>
      </c>
      <c r="F131" s="47">
        <f>D131*E131</f>
        <v/>
      </c>
      <c r="G131" s="39" t="n"/>
    </row>
    <row r="132">
      <c r="A132" s="8" t="inlineStr">
        <is>
          <t>4.1.2</t>
        </is>
      </c>
      <c r="B132" s="9" t="inlineStr">
        <is>
          <t>Cañería de 2 1/2"</t>
        </is>
      </c>
      <c r="C132" s="10" t="inlineStr">
        <is>
          <t>MTS</t>
        </is>
      </c>
      <c r="D132" s="10" t="n">
        <v>415.053</v>
      </c>
      <c r="E132" s="46" t="n">
        <v>28451</v>
      </c>
      <c r="F132" s="47">
        <f>D132*E132</f>
        <v/>
      </c>
      <c r="G132" s="39" t="n"/>
    </row>
    <row r="133">
      <c r="A133" s="8" t="inlineStr">
        <is>
          <t>4.1.3</t>
        </is>
      </c>
      <c r="B133" s="9" t="inlineStr">
        <is>
          <t>Tee de 3"</t>
        </is>
      </c>
      <c r="C133" s="10" t="inlineStr">
        <is>
          <t>UN</t>
        </is>
      </c>
      <c r="D133" s="10" t="n">
        <v>10</v>
      </c>
      <c r="E133" s="46" t="n">
        <v>15461</v>
      </c>
      <c r="F133" s="47">
        <f>D133*E133</f>
        <v/>
      </c>
      <c r="G133" s="39" t="n"/>
    </row>
    <row r="134">
      <c r="A134" s="8" t="inlineStr">
        <is>
          <t>4.1.4</t>
        </is>
      </c>
      <c r="B134" s="9" t="inlineStr">
        <is>
          <t>Tee de 2 1/2"</t>
        </is>
      </c>
      <c r="C134" s="10" t="inlineStr">
        <is>
          <t>UN</t>
        </is>
      </c>
      <c r="D134" s="10" t="n">
        <v>1</v>
      </c>
      <c r="E134" s="46" t="n">
        <v>10856</v>
      </c>
      <c r="F134" s="47">
        <f>D134*E134</f>
        <v/>
      </c>
      <c r="G134" s="39" t="n"/>
    </row>
    <row r="135">
      <c r="A135" s="8" t="inlineStr">
        <is>
          <t>4.1.5</t>
        </is>
      </c>
      <c r="B135" s="9" t="inlineStr">
        <is>
          <t>Tee Mecánica 2 1/2" x 1"</t>
        </is>
      </c>
      <c r="C135" s="10" t="inlineStr">
        <is>
          <t>UN</t>
        </is>
      </c>
      <c r="D135" s="10" t="n">
        <v>1</v>
      </c>
      <c r="E135" s="46" t="n">
        <v>12844</v>
      </c>
      <c r="F135" s="47">
        <f>D135*E135</f>
        <v/>
      </c>
      <c r="G135" s="39" t="n"/>
    </row>
    <row r="136">
      <c r="A136" s="8" t="inlineStr">
        <is>
          <t>4.1.6</t>
        </is>
      </c>
      <c r="B136" s="9" t="inlineStr">
        <is>
          <t>Reducción 3" x 2 1/2"</t>
        </is>
      </c>
      <c r="C136" s="10" t="inlineStr">
        <is>
          <t>UN</t>
        </is>
      </c>
      <c r="D136" s="10" t="n">
        <v>3</v>
      </c>
      <c r="E136" s="46" t="n">
        <v>5306</v>
      </c>
      <c r="F136" s="47">
        <f>D136*E136</f>
        <v/>
      </c>
      <c r="G136" s="39" t="n"/>
    </row>
    <row r="137">
      <c r="A137" s="8" t="inlineStr">
        <is>
          <t>4.1.7</t>
        </is>
      </c>
      <c r="B137" s="9" t="inlineStr">
        <is>
          <t>Codo 3" 90"</t>
        </is>
      </c>
      <c r="C137" s="10" t="inlineStr">
        <is>
          <t>UN</t>
        </is>
      </c>
      <c r="D137" s="10" t="n">
        <v>11</v>
      </c>
      <c r="E137" s="46" t="n">
        <v>10795</v>
      </c>
      <c r="F137" s="47">
        <f>D137*E137</f>
        <v/>
      </c>
      <c r="G137" s="39" t="n"/>
    </row>
    <row r="138">
      <c r="A138" s="8" t="inlineStr">
        <is>
          <t>4.1.8</t>
        </is>
      </c>
      <c r="B138" s="9" t="inlineStr">
        <is>
          <t>Codo 3" 45"</t>
        </is>
      </c>
      <c r="C138" s="10" t="inlineStr">
        <is>
          <t>UN</t>
        </is>
      </c>
      <c r="D138" s="10" t="n">
        <v>7</v>
      </c>
      <c r="E138" s="46" t="n">
        <v>10795</v>
      </c>
      <c r="F138" s="47">
        <f>D138*E138</f>
        <v/>
      </c>
      <c r="G138" s="39" t="n"/>
    </row>
    <row r="139">
      <c r="A139" s="8" t="inlineStr">
        <is>
          <t>4.1.9</t>
        </is>
      </c>
      <c r="B139" s="9" t="inlineStr">
        <is>
          <t>Codo 2 1/2" 90"</t>
        </is>
      </c>
      <c r="C139" s="10" t="inlineStr">
        <is>
          <t>UN</t>
        </is>
      </c>
      <c r="D139" s="10" t="n">
        <v>23</v>
      </c>
      <c r="E139" s="46" t="n">
        <v>7380</v>
      </c>
      <c r="F139" s="47">
        <f>D139*E139</f>
        <v/>
      </c>
      <c r="G139" s="39" t="n"/>
    </row>
    <row r="140">
      <c r="A140" s="8" t="inlineStr">
        <is>
          <t>4.1.10</t>
        </is>
      </c>
      <c r="B140" s="9" t="inlineStr">
        <is>
          <t>Codo 2 1/2" 45"</t>
        </is>
      </c>
      <c r="C140" s="10" t="inlineStr">
        <is>
          <t>UN</t>
        </is>
      </c>
      <c r="D140" s="10" t="n">
        <v>19</v>
      </c>
      <c r="E140" s="46" t="n">
        <v>6831</v>
      </c>
      <c r="F140" s="47">
        <f>D140*E140</f>
        <v/>
      </c>
      <c r="G140" s="39" t="n"/>
    </row>
    <row r="141">
      <c r="A141" s="8" t="inlineStr">
        <is>
          <t>4.1.11</t>
        </is>
      </c>
      <c r="B141" s="9" t="inlineStr">
        <is>
          <t>Unión Flexible de 3 Pulg</t>
        </is>
      </c>
      <c r="C141" s="10" t="inlineStr">
        <is>
          <t>UN</t>
        </is>
      </c>
      <c r="D141" s="10" t="n">
        <v>55.066</v>
      </c>
      <c r="E141" s="46" t="n">
        <v>6709</v>
      </c>
      <c r="F141" s="47">
        <f>D141*E141</f>
        <v/>
      </c>
      <c r="G141" s="39" t="n"/>
    </row>
    <row r="142">
      <c r="A142" s="8" t="inlineStr">
        <is>
          <t>4.1.12</t>
        </is>
      </c>
      <c r="B142" s="9" t="inlineStr">
        <is>
          <t>Unión Flexible de 2 1/2 Pulg</t>
        </is>
      </c>
      <c r="C142" s="10" t="inlineStr">
        <is>
          <t>UN</t>
        </is>
      </c>
      <c r="D142" s="10" t="n">
        <v>143.3395</v>
      </c>
      <c r="E142" s="46" t="n">
        <v>6312</v>
      </c>
      <c r="F142" s="47">
        <f>D142*E142</f>
        <v/>
      </c>
      <c r="G142" s="39" t="n"/>
    </row>
    <row r="143">
      <c r="A143" s="8" t="inlineStr">
        <is>
          <t>4.1.13</t>
        </is>
      </c>
      <c r="B143" s="9" t="inlineStr">
        <is>
          <t>Unión Rígida de 3 Pulg</t>
        </is>
      </c>
      <c r="C143" s="10" t="inlineStr">
        <is>
          <t>UN</t>
        </is>
      </c>
      <c r="D143" s="10" t="n">
        <v>66</v>
      </c>
      <c r="E143" s="46" t="n">
        <v>7959</v>
      </c>
      <c r="F143" s="47">
        <f>D143*E143</f>
        <v/>
      </c>
      <c r="G143" s="39" t="n"/>
    </row>
    <row r="144">
      <c r="A144" s="8" t="inlineStr">
        <is>
          <t>4.1.14</t>
        </is>
      </c>
      <c r="B144" s="9" t="inlineStr">
        <is>
          <t>Unión Rígida de 2 1/2 Pulg</t>
        </is>
      </c>
      <c r="C144" s="10" t="inlineStr">
        <is>
          <t>UN</t>
        </is>
      </c>
      <c r="D144" s="10" t="n">
        <v>84</v>
      </c>
      <c r="E144" s="46" t="n">
        <v>6892</v>
      </c>
      <c r="F144" s="47">
        <f>D144*E144</f>
        <v/>
      </c>
      <c r="G144" s="39" t="n"/>
    </row>
    <row r="145">
      <c r="A145" s="12" t="inlineStr">
        <is>
          <t>4.2</t>
        </is>
      </c>
      <c r="B145" s="29" t="inlineStr">
        <is>
          <t>SOPORTES</t>
        </is>
      </c>
      <c r="C145" s="10" t="n"/>
      <c r="D145" s="10" t="n"/>
      <c r="E145" s="46" t="n"/>
      <c r="F145" s="47" t="n"/>
      <c r="G145" s="39" t="n"/>
    </row>
    <row r="146">
      <c r="A146" s="8" t="inlineStr">
        <is>
          <t>4.2.1</t>
        </is>
      </c>
      <c r="B146" s="9" t="inlineStr">
        <is>
          <t>Colgadores 3 [Pulg]</t>
        </is>
      </c>
      <c r="C146" s="10" t="inlineStr">
        <is>
          <t>UN</t>
        </is>
      </c>
      <c r="D146" s="10" t="n">
        <v>1</v>
      </c>
      <c r="E146" s="46" t="n">
        <v>945</v>
      </c>
      <c r="F146" s="47">
        <f>D146*E146</f>
        <v/>
      </c>
      <c r="G146" s="39" t="n"/>
    </row>
    <row r="147">
      <c r="A147" s="8" t="inlineStr">
        <is>
          <t>4.2.2</t>
        </is>
      </c>
      <c r="B147" s="9" t="inlineStr">
        <is>
          <t>Colgadores 2 1/2 [Pulg]</t>
        </is>
      </c>
      <c r="C147" s="10" t="inlineStr">
        <is>
          <t>UN</t>
        </is>
      </c>
      <c r="D147" s="10" t="n">
        <v>1</v>
      </c>
      <c r="E147" s="46" t="n">
        <v>823</v>
      </c>
      <c r="F147" s="47">
        <f>D147*E147</f>
        <v/>
      </c>
      <c r="G147" s="39" t="n"/>
    </row>
    <row r="148">
      <c r="A148" s="8" t="inlineStr">
        <is>
          <t>4.2.3</t>
        </is>
      </c>
      <c r="B148" s="9" t="inlineStr">
        <is>
          <t>Anclajes sísmicos longitudinales 3 [Pulg]</t>
        </is>
      </c>
      <c r="C148" s="10" t="inlineStr">
        <is>
          <t>UN</t>
        </is>
      </c>
      <c r="D148" s="10" t="n">
        <v>35</v>
      </c>
      <c r="E148" s="46" t="n">
        <v>99137</v>
      </c>
      <c r="F148" s="47">
        <f>D148*E148</f>
        <v/>
      </c>
      <c r="G148" s="39" t="n"/>
    </row>
    <row r="149">
      <c r="A149" s="8" t="inlineStr">
        <is>
          <t>4.2.4</t>
        </is>
      </c>
      <c r="B149" s="9" t="inlineStr">
        <is>
          <t>Anclajes sísmicos transversales 3 [Pulg]</t>
        </is>
      </c>
      <c r="C149" s="10" t="inlineStr">
        <is>
          <t>UN</t>
        </is>
      </c>
      <c r="D149" s="10" t="n">
        <v>41</v>
      </c>
      <c r="E149" s="46" t="n">
        <v>99137</v>
      </c>
      <c r="F149" s="47">
        <f>D149*E149</f>
        <v/>
      </c>
      <c r="G149" s="39" t="n"/>
    </row>
    <row r="150">
      <c r="A150" s="8" t="inlineStr">
        <is>
          <t>4.2.5</t>
        </is>
      </c>
      <c r="B150" s="9" t="inlineStr">
        <is>
          <t>Anclajes sísmicos longitudinales 2 1/2 [Pulg]</t>
        </is>
      </c>
      <c r="C150" s="10" t="inlineStr">
        <is>
          <t>UN</t>
        </is>
      </c>
      <c r="D150" s="10" t="n">
        <v>48</v>
      </c>
      <c r="E150" s="46" t="n">
        <v>66844</v>
      </c>
      <c r="F150" s="47">
        <f>D150*E150</f>
        <v/>
      </c>
      <c r="G150" s="39" t="n"/>
    </row>
    <row r="151">
      <c r="A151" s="8" t="inlineStr">
        <is>
          <t>4.2.6</t>
        </is>
      </c>
      <c r="B151" s="9" t="inlineStr">
        <is>
          <t>Anclajes sísmicos transversales 2 1/2 [Pulg]</t>
        </is>
      </c>
      <c r="C151" s="10" t="inlineStr">
        <is>
          <t>UN</t>
        </is>
      </c>
      <c r="D151" s="10" t="n">
        <v>56</v>
      </c>
      <c r="E151" s="46" t="n">
        <v>66844</v>
      </c>
      <c r="F151" s="47">
        <f>D151*E151</f>
        <v/>
      </c>
      <c r="G151" s="39" t="n"/>
    </row>
    <row r="152">
      <c r="A152" s="12" t="inlineStr">
        <is>
          <t>4.3</t>
        </is>
      </c>
      <c r="B152" s="29" t="inlineStr">
        <is>
          <t>VALVULAS</t>
        </is>
      </c>
      <c r="C152" s="10" t="n"/>
      <c r="D152" s="10" t="n"/>
      <c r="E152" s="46" t="n"/>
      <c r="F152" s="47" t="n"/>
      <c r="G152" s="39" t="n"/>
    </row>
    <row r="153">
      <c r="A153" s="8" t="inlineStr">
        <is>
          <t>4.3.1</t>
        </is>
      </c>
      <c r="B153" s="9" t="inlineStr">
        <is>
          <t>Válvula de Angulo de 1" Reductora de Presión</t>
        </is>
      </c>
      <c r="C153" s="10" t="inlineStr">
        <is>
          <t>UN</t>
        </is>
      </c>
      <c r="D153" s="10" t="n">
        <v>27</v>
      </c>
      <c r="E153" s="46" t="n">
        <v>471687</v>
      </c>
      <c r="F153" s="47">
        <f>D153*E153</f>
        <v/>
      </c>
      <c r="G153" s="39" t="n"/>
    </row>
    <row r="154">
      <c r="A154" s="8" t="inlineStr">
        <is>
          <t>4.3.2</t>
        </is>
      </c>
      <c r="B154" s="9" t="inlineStr">
        <is>
          <t>Válvula de Angulo 2 1/2" cubierta y tapa storz 2" toma de bomberos carretes</t>
        </is>
      </c>
      <c r="C154" s="10" t="inlineStr">
        <is>
          <t>UN</t>
        </is>
      </c>
      <c r="D154" s="10" t="n">
        <v>27</v>
      </c>
      <c r="E154" s="46" t="n">
        <v>308156</v>
      </c>
      <c r="F154" s="47">
        <f>D154*E154</f>
        <v/>
      </c>
      <c r="G154" s="39" t="n"/>
    </row>
    <row r="155">
      <c r="A155" s="8" t="inlineStr">
        <is>
          <t>4.3.3</t>
        </is>
      </c>
      <c r="B155" s="9" t="inlineStr">
        <is>
          <t>Manómetros 3.5 Pulg</t>
        </is>
      </c>
      <c r="C155" s="10" t="inlineStr">
        <is>
          <t>UN</t>
        </is>
      </c>
      <c r="D155" s="10" t="n">
        <v>27</v>
      </c>
      <c r="E155" s="46" t="n">
        <v>94825</v>
      </c>
      <c r="F155" s="47">
        <f>D155*E155</f>
        <v/>
      </c>
      <c r="G155" s="39" t="n"/>
    </row>
    <row r="156">
      <c r="A156" s="12" t="inlineStr">
        <is>
          <t>4.4</t>
        </is>
      </c>
      <c r="B156" s="29" t="inlineStr">
        <is>
          <t>GABINETES DE MANGUERAS</t>
        </is>
      </c>
      <c r="C156" s="10" t="n"/>
      <c r="D156" s="10" t="n"/>
      <c r="E156" s="46" t="n"/>
      <c r="F156" s="47" t="n"/>
      <c r="G156" s="39" t="n"/>
    </row>
    <row r="157">
      <c r="A157" s="8" t="inlineStr">
        <is>
          <t>4.4.1</t>
        </is>
      </c>
      <c r="B157" s="9" t="inlineStr">
        <is>
          <t>Gabinete de manguera con 30 [m] de manguera semirrígida de 1" y PitÃ³n regulable</t>
        </is>
      </c>
      <c r="C157" s="10" t="inlineStr">
        <is>
          <t>UN</t>
        </is>
      </c>
      <c r="D157" s="10" t="n">
        <v>27</v>
      </c>
      <c r="E157" s="46" t="n">
        <v>1667216</v>
      </c>
      <c r="F157" s="47">
        <f>D157*E157</f>
        <v/>
      </c>
      <c r="G157" s="39" t="n"/>
    </row>
    <row r="158">
      <c r="A158" s="8" t="inlineStr">
        <is>
          <t>4.4.2</t>
        </is>
      </c>
      <c r="B158" s="9" t="inlineStr">
        <is>
          <t>Conexión Storz 2 1/2", con tapa y cadena (Toma exterior)</t>
        </is>
      </c>
      <c r="C158" s="10" t="inlineStr">
        <is>
          <t>UN</t>
        </is>
      </c>
      <c r="D158" s="10" t="n">
        <v>27</v>
      </c>
      <c r="E158" s="46" t="n">
        <v>49303</v>
      </c>
      <c r="F158" s="47">
        <f>D158*E158</f>
        <v/>
      </c>
      <c r="G158" s="39" t="n"/>
    </row>
    <row r="159">
      <c r="A159" s="12" t="n">
        <v>5</v>
      </c>
      <c r="B159" s="29" t="inlineStr">
        <is>
          <t>SALA DE BOMBAS</t>
        </is>
      </c>
      <c r="C159" s="10" t="n"/>
      <c r="D159" s="10" t="n"/>
      <c r="E159" s="46" t="n"/>
      <c r="F159" s="47" t="n"/>
      <c r="G159" s="39" t="n"/>
    </row>
    <row r="160">
      <c r="A160" s="12" t="inlineStr">
        <is>
          <t>5.1</t>
        </is>
      </c>
      <c r="B160" s="29" t="inlineStr">
        <is>
          <t>MONTAJE DE SALA DE BOMBAS</t>
        </is>
      </c>
      <c r="C160" s="10" t="n"/>
      <c r="D160" s="10" t="n"/>
      <c r="E160" s="46" t="n"/>
      <c r="F160" s="47" t="n"/>
      <c r="G160" s="39" t="n"/>
    </row>
    <row r="161">
      <c r="A161" s="8" t="inlineStr">
        <is>
          <t>5.1.1</t>
        </is>
      </c>
      <c r="B161" s="9" t="inlineStr">
        <is>
          <t>Bomba Principal 750 GPM y 145 PSI, Jockey y Tableros</t>
        </is>
      </c>
      <c r="C161" s="10" t="inlineStr">
        <is>
          <t>UN</t>
        </is>
      </c>
      <c r="D161" s="10" t="n">
        <v>1</v>
      </c>
      <c r="E161" s="46" t="n">
        <v>107510730</v>
      </c>
      <c r="F161" s="47">
        <f>D161*E161</f>
        <v/>
      </c>
      <c r="G161" s="39" t="n"/>
    </row>
    <row r="162">
      <c r="A162" s="12" t="inlineStr">
        <is>
          <t>5.2</t>
        </is>
      </c>
      <c r="B162" s="29" t="inlineStr">
        <is>
          <t>ROCIADORES</t>
        </is>
      </c>
      <c r="C162" s="10" t="n"/>
      <c r="D162" s="10" t="n"/>
      <c r="E162" s="46" t="n"/>
      <c r="F162" s="47" t="n"/>
      <c r="G162" s="39" t="n"/>
    </row>
    <row r="163">
      <c r="A163" s="8" t="inlineStr">
        <is>
          <t>5.2.1</t>
        </is>
      </c>
      <c r="B163" s="9" t="inlineStr">
        <is>
          <t>Rociador Colgante Respuesta Estándar, K6.0, 165° F (74° C), 1/2" NPT</t>
        </is>
      </c>
      <c r="C163" s="10" t="inlineStr">
        <is>
          <t>UN</t>
        </is>
      </c>
      <c r="D163" s="10" t="n">
        <v>6</v>
      </c>
      <c r="E163" s="46" t="n">
        <v>158570</v>
      </c>
      <c r="F163" s="47">
        <f>D163*E163</f>
        <v/>
      </c>
      <c r="G163" s="39" t="n"/>
    </row>
    <row r="164">
      <c r="A164" s="8" t="inlineStr">
        <is>
          <t>5.2.2</t>
        </is>
      </c>
      <c r="B164" s="9" t="inlineStr">
        <is>
          <t>Caja de Repuestos y Llaves de montajes de cada Rociador instalado</t>
        </is>
      </c>
      <c r="C164" s="10" t="inlineStr">
        <is>
          <t>UN</t>
        </is>
      </c>
      <c r="D164" s="10" t="n">
        <v>1</v>
      </c>
      <c r="E164" s="46" t="n">
        <v>173793</v>
      </c>
      <c r="F164" s="47">
        <f>D164*E164</f>
        <v/>
      </c>
      <c r="G164" s="39" t="n"/>
    </row>
    <row r="165">
      <c r="A165" s="12" t="inlineStr">
        <is>
          <t>5.3</t>
        </is>
      </c>
      <c r="B165" s="29" t="inlineStr">
        <is>
          <t>CAÑERIAS Y FITTING</t>
        </is>
      </c>
      <c r="C165" s="10" t="n"/>
      <c r="D165" s="10" t="n"/>
      <c r="E165" s="46" t="n"/>
      <c r="F165" s="47" t="n"/>
      <c r="G165" s="39" t="n"/>
    </row>
    <row r="166">
      <c r="A166" s="8" t="inlineStr">
        <is>
          <t>5.3.1</t>
        </is>
      </c>
      <c r="B166" s="9" t="inlineStr">
        <is>
          <t>Cañería de 6"</t>
        </is>
      </c>
      <c r="C166" s="10" t="inlineStr">
        <is>
          <t>MTS</t>
        </is>
      </c>
      <c r="D166" s="10" t="n">
        <v>27.274</v>
      </c>
      <c r="E166" s="46" t="n">
        <v>68185</v>
      </c>
      <c r="F166" s="47">
        <f>D166*E166</f>
        <v/>
      </c>
      <c r="G166" s="39" t="n"/>
    </row>
    <row r="167">
      <c r="A167" s="8" t="inlineStr">
        <is>
          <t>5.3.2</t>
        </is>
      </c>
      <c r="B167" s="9" t="inlineStr">
        <is>
          <t>Cañería de 4"</t>
        </is>
      </c>
      <c r="C167" s="10" t="inlineStr">
        <is>
          <t>MTS</t>
        </is>
      </c>
      <c r="D167" s="10" t="n">
        <v>1.463</v>
      </c>
      <c r="E167" s="46" t="n">
        <v>47144</v>
      </c>
      <c r="F167" s="47">
        <f>D167*E167</f>
        <v/>
      </c>
      <c r="G167" s="39" t="n"/>
    </row>
    <row r="168">
      <c r="A168" s="8" t="inlineStr">
        <is>
          <t>5.3.3</t>
        </is>
      </c>
      <c r="B168" s="9" t="inlineStr">
        <is>
          <t>Cañería de 2"</t>
        </is>
      </c>
      <c r="C168" s="10" t="inlineStr">
        <is>
          <t>MTS</t>
        </is>
      </c>
      <c r="D168" s="10" t="n">
        <v>24.081</v>
      </c>
      <c r="E168" s="46" t="n">
        <v>17092</v>
      </c>
      <c r="F168" s="47">
        <f>D168*E168</f>
        <v/>
      </c>
      <c r="G168" s="39" t="n"/>
    </row>
    <row r="169">
      <c r="A169" s="8" t="inlineStr">
        <is>
          <t>5.3.4</t>
        </is>
      </c>
      <c r="B169" s="9" t="inlineStr">
        <is>
          <t>Cañería de 1 1/4"</t>
        </is>
      </c>
      <c r="C169" s="10" t="inlineStr">
        <is>
          <t>MTS</t>
        </is>
      </c>
      <c r="D169" s="10" t="n">
        <v>33.081</v>
      </c>
      <c r="E169" s="46" t="n">
        <v>4608</v>
      </c>
      <c r="F169" s="47">
        <f>D169*E169</f>
        <v/>
      </c>
      <c r="G169" s="39" t="n"/>
    </row>
    <row r="170">
      <c r="A170" s="8" t="inlineStr">
        <is>
          <t>5.3.5</t>
        </is>
      </c>
      <c r="B170" s="9" t="inlineStr">
        <is>
          <t>Tee roscada 6 Pulg</t>
        </is>
      </c>
      <c r="C170" s="10" t="inlineStr">
        <is>
          <t>UN</t>
        </is>
      </c>
      <c r="D170" s="10" t="n">
        <v>1</v>
      </c>
      <c r="E170" s="46" t="n">
        <v>135771</v>
      </c>
      <c r="F170" s="47">
        <f>D170*E170</f>
        <v/>
      </c>
      <c r="G170" s="39" t="n"/>
    </row>
    <row r="171">
      <c r="A171" s="8" t="inlineStr">
        <is>
          <t>5.3.6</t>
        </is>
      </c>
      <c r="B171" s="9" t="inlineStr">
        <is>
          <t>Tee roscada 2 Pulg</t>
        </is>
      </c>
      <c r="C171" s="10" t="inlineStr">
        <is>
          <t>UN</t>
        </is>
      </c>
      <c r="D171" s="10" t="n">
        <v>1</v>
      </c>
      <c r="E171" s="46" t="n">
        <v>27208</v>
      </c>
      <c r="F171" s="47">
        <f>D171*E171</f>
        <v/>
      </c>
      <c r="G171" s="39" t="n"/>
    </row>
    <row r="172">
      <c r="A172" s="8" t="inlineStr">
        <is>
          <t>5.3.7</t>
        </is>
      </c>
      <c r="B172" s="9" t="inlineStr">
        <is>
          <t>Tee ReducciÃ³n 6" x 6" x 4"</t>
        </is>
      </c>
      <c r="C172" s="10" t="inlineStr">
        <is>
          <t>UN</t>
        </is>
      </c>
      <c r="D172" s="10" t="n">
        <v>1</v>
      </c>
      <c r="E172" s="46" t="n">
        <v>41047</v>
      </c>
      <c r="F172" s="47">
        <f>D172*E172</f>
        <v/>
      </c>
      <c r="G172" s="39" t="n"/>
    </row>
    <row r="173">
      <c r="A173" s="8" t="inlineStr">
        <is>
          <t>5.3.8</t>
        </is>
      </c>
      <c r="B173" s="9" t="inlineStr">
        <is>
          <t>Strap 2" x 1 1/4"</t>
        </is>
      </c>
      <c r="C173" s="10" t="inlineStr">
        <is>
          <t>UN</t>
        </is>
      </c>
      <c r="D173" s="10" t="n">
        <v>1</v>
      </c>
      <c r="E173" s="46" t="n">
        <v>6292</v>
      </c>
      <c r="F173" s="47">
        <f>D173*E173</f>
        <v/>
      </c>
      <c r="G173" s="39" t="n"/>
    </row>
    <row r="174">
      <c r="A174" s="8" t="inlineStr">
        <is>
          <t>5.3.9</t>
        </is>
      </c>
      <c r="B174" s="9" t="inlineStr">
        <is>
          <t>Strap 1 1/4" x 1/2"</t>
        </is>
      </c>
      <c r="C174" s="10" t="inlineStr">
        <is>
          <t>UN</t>
        </is>
      </c>
      <c r="D174" s="10" t="n">
        <v>1</v>
      </c>
      <c r="E174" s="46" t="n">
        <v>4757</v>
      </c>
      <c r="F174" s="47">
        <f>D174*E174</f>
        <v/>
      </c>
      <c r="G174" s="39" t="n"/>
    </row>
    <row r="175">
      <c r="A175" s="8" t="inlineStr">
        <is>
          <t>5.3.10</t>
        </is>
      </c>
      <c r="B175" s="9" t="inlineStr">
        <is>
          <t>Codo 6"</t>
        </is>
      </c>
      <c r="C175" s="10" t="inlineStr">
        <is>
          <t>UN</t>
        </is>
      </c>
      <c r="D175" s="10" t="n">
        <v>12</v>
      </c>
      <c r="E175" s="46" t="n">
        <v>121971</v>
      </c>
      <c r="F175" s="47">
        <f>D175*E175</f>
        <v/>
      </c>
      <c r="G175" s="39" t="n"/>
    </row>
    <row r="176">
      <c r="A176" s="8" t="inlineStr">
        <is>
          <t>5.3.11</t>
        </is>
      </c>
      <c r="B176" s="9" t="inlineStr">
        <is>
          <t>Codo 2"</t>
        </is>
      </c>
      <c r="C176" s="10" t="inlineStr">
        <is>
          <t>UN</t>
        </is>
      </c>
      <c r="D176" s="10" t="n">
        <v>9</v>
      </c>
      <c r="E176" s="46" t="n">
        <v>15210</v>
      </c>
      <c r="F176" s="47">
        <f>D176*E176</f>
        <v/>
      </c>
      <c r="G176" s="39" t="n"/>
    </row>
    <row r="177">
      <c r="A177" s="8" t="inlineStr">
        <is>
          <t>5.3.12</t>
        </is>
      </c>
      <c r="B177" s="9" t="inlineStr">
        <is>
          <t>Codo de descarga 4" x 6"</t>
        </is>
      </c>
      <c r="C177" s="10" t="inlineStr">
        <is>
          <t>UN</t>
        </is>
      </c>
      <c r="D177" s="10" t="n">
        <v>1</v>
      </c>
      <c r="E177" s="46" t="n">
        <v>39643</v>
      </c>
      <c r="F177" s="47">
        <f>D177*E177</f>
        <v/>
      </c>
      <c r="G177" s="39" t="n"/>
    </row>
    <row r="178">
      <c r="A178" s="8" t="inlineStr">
        <is>
          <t>5.3.13</t>
        </is>
      </c>
      <c r="B178" s="9" t="inlineStr">
        <is>
          <t>Tapón 2"</t>
        </is>
      </c>
      <c r="C178" s="10" t="inlineStr">
        <is>
          <t>UN</t>
        </is>
      </c>
      <c r="D178" s="10" t="n">
        <v>1</v>
      </c>
      <c r="E178" s="46" t="n">
        <v>2013</v>
      </c>
      <c r="F178" s="47">
        <f>D178*E178</f>
        <v/>
      </c>
      <c r="G178" s="39" t="n"/>
    </row>
    <row r="179">
      <c r="A179" s="8" t="inlineStr">
        <is>
          <t>5.3.14</t>
        </is>
      </c>
      <c r="B179" s="9" t="inlineStr">
        <is>
          <t>Tapón 1 1/4"</t>
        </is>
      </c>
      <c r="C179" s="10" t="inlineStr">
        <is>
          <t>UN</t>
        </is>
      </c>
      <c r="D179" s="10" t="n">
        <v>1</v>
      </c>
      <c r="E179" s="46" t="n">
        <v>2220</v>
      </c>
      <c r="F179" s="47">
        <f>D179*E179</f>
        <v/>
      </c>
      <c r="G179" s="39" t="n"/>
    </row>
    <row r="180">
      <c r="A180" s="8" t="inlineStr">
        <is>
          <t>5.3.15</t>
        </is>
      </c>
      <c r="B180" s="9" t="inlineStr">
        <is>
          <t>Unión Flexible de 6 Pulg</t>
        </is>
      </c>
      <c r="C180" s="10" t="inlineStr">
        <is>
          <t>UN</t>
        </is>
      </c>
      <c r="D180" s="10" t="n">
        <v>46</v>
      </c>
      <c r="E180" s="46" t="n">
        <v>22871</v>
      </c>
      <c r="F180" s="47">
        <f>D180*E180</f>
        <v/>
      </c>
      <c r="G180" s="39" t="n"/>
    </row>
    <row r="181">
      <c r="A181" s="8" t="inlineStr">
        <is>
          <t>5.3.16</t>
        </is>
      </c>
      <c r="B181" s="9" t="inlineStr">
        <is>
          <t>Unión Flexible de 4 Pulg</t>
        </is>
      </c>
      <c r="C181" s="10" t="inlineStr">
        <is>
          <t>UN</t>
        </is>
      </c>
      <c r="D181" s="10" t="n">
        <v>4</v>
      </c>
      <c r="E181" s="46" t="n">
        <v>12625</v>
      </c>
      <c r="F181" s="47">
        <f>D181*E181</f>
        <v/>
      </c>
      <c r="G181" s="39" t="n"/>
    </row>
    <row r="182">
      <c r="A182" s="8" t="inlineStr">
        <is>
          <t>5.3.17</t>
        </is>
      </c>
      <c r="B182" s="9" t="inlineStr">
        <is>
          <t>Unión Flexible de 2 Pulg</t>
        </is>
      </c>
      <c r="C182" s="10" t="inlineStr">
        <is>
          <t>UN</t>
        </is>
      </c>
      <c r="D182" s="10" t="n">
        <v>13</v>
      </c>
      <c r="E182" s="46" t="n">
        <v>10634</v>
      </c>
      <c r="F182" s="47">
        <f>D182*E182</f>
        <v/>
      </c>
      <c r="G182" s="39" t="n"/>
    </row>
    <row r="183">
      <c r="A183" s="8" t="inlineStr">
        <is>
          <t>5.3.18</t>
        </is>
      </c>
      <c r="B183" s="9" t="inlineStr">
        <is>
          <t>Adaptador Flange de 6 Pulg</t>
        </is>
      </c>
      <c r="C183" s="10" t="inlineStr">
        <is>
          <t>UN</t>
        </is>
      </c>
      <c r="D183" s="10" t="n">
        <v>6</v>
      </c>
      <c r="E183" s="46" t="n">
        <v>76859</v>
      </c>
      <c r="F183" s="47">
        <f>D183*E183</f>
        <v/>
      </c>
      <c r="G183" s="39" t="n"/>
    </row>
    <row r="184">
      <c r="A184" s="8" t="inlineStr">
        <is>
          <t>5.3.19</t>
        </is>
      </c>
      <c r="B184" s="9" t="inlineStr">
        <is>
          <t>Adaptador Flange de 4 Pulg</t>
        </is>
      </c>
      <c r="C184" s="10" t="inlineStr">
        <is>
          <t>UN</t>
        </is>
      </c>
      <c r="D184" s="10" t="n">
        <v>4</v>
      </c>
      <c r="E184" s="46" t="n">
        <v>55500</v>
      </c>
      <c r="F184" s="47">
        <f>D184*E184</f>
        <v/>
      </c>
      <c r="G184" s="39" t="n"/>
    </row>
    <row r="185">
      <c r="A185" s="12" t="inlineStr">
        <is>
          <t>5.4</t>
        </is>
      </c>
      <c r="B185" s="29" t="inlineStr">
        <is>
          <t>SOPORTES</t>
        </is>
      </c>
      <c r="C185" s="10" t="n"/>
      <c r="D185" s="10" t="n"/>
      <c r="E185" s="46" t="n"/>
      <c r="F185" s="47" t="n"/>
      <c r="G185" s="39" t="n"/>
    </row>
    <row r="186">
      <c r="A186" s="8" t="inlineStr">
        <is>
          <t>5.4.1</t>
        </is>
      </c>
      <c r="B186" s="9" t="inlineStr">
        <is>
          <t>Colgadores 2 [Pulg]</t>
        </is>
      </c>
      <c r="C186" s="10" t="inlineStr">
        <is>
          <t>UN</t>
        </is>
      </c>
      <c r="D186" s="10" t="n">
        <v>10</v>
      </c>
      <c r="E186" s="46" t="n">
        <v>671</v>
      </c>
      <c r="F186" s="47">
        <f>D186*E186</f>
        <v/>
      </c>
      <c r="G186" s="39" t="n"/>
    </row>
    <row r="187">
      <c r="A187" s="8" t="inlineStr">
        <is>
          <t>5.4.2</t>
        </is>
      </c>
      <c r="B187" s="9" t="inlineStr">
        <is>
          <t>Colgadores 1-1/4 [Pulg]</t>
        </is>
      </c>
      <c r="C187" s="10" t="inlineStr">
        <is>
          <t>UN</t>
        </is>
      </c>
      <c r="D187" s="10" t="n">
        <v>3</v>
      </c>
      <c r="E187" s="46" t="n">
        <v>640</v>
      </c>
      <c r="F187" s="47">
        <f>D187*E187</f>
        <v/>
      </c>
      <c r="G187" s="39" t="n"/>
    </row>
    <row r="188">
      <c r="A188" s="12" t="inlineStr">
        <is>
          <t>5.5</t>
        </is>
      </c>
      <c r="B188" s="29" t="inlineStr">
        <is>
          <t>VALVULAS</t>
        </is>
      </c>
      <c r="C188" s="10" t="n"/>
      <c r="D188" s="10" t="n"/>
      <c r="E188" s="46" t="n"/>
      <c r="F188" s="47" t="n"/>
      <c r="G188" s="39" t="n"/>
    </row>
    <row r="189">
      <c r="A189" s="8" t="inlineStr">
        <is>
          <t>5.5.1</t>
        </is>
      </c>
      <c r="B189" s="9" t="inlineStr">
        <is>
          <t>Válvula de Mariposa de 2"</t>
        </is>
      </c>
      <c r="C189" s="10" t="inlineStr">
        <is>
          <t>UN</t>
        </is>
      </c>
      <c r="D189" s="10" t="n">
        <v>1</v>
      </c>
      <c r="E189" s="46" t="n">
        <v>223584</v>
      </c>
      <c r="F189" s="47">
        <f>D189*E189</f>
        <v/>
      </c>
      <c r="G189" s="39" t="n"/>
    </row>
    <row r="190">
      <c r="A190" s="8" t="inlineStr">
        <is>
          <t>5.5.2</t>
        </is>
      </c>
      <c r="B190" s="9" t="inlineStr">
        <is>
          <t>Válvula de Mariposa de 6"</t>
        </is>
      </c>
      <c r="C190" s="10" t="inlineStr">
        <is>
          <t>UN</t>
        </is>
      </c>
      <c r="D190" s="10" t="n">
        <v>3</v>
      </c>
      <c r="E190" s="46" t="n">
        <v>597720</v>
      </c>
      <c r="F190" s="47">
        <f>D190*E190</f>
        <v/>
      </c>
      <c r="G190" s="39" t="n"/>
    </row>
    <row r="191">
      <c r="A191" s="8" t="inlineStr">
        <is>
          <t>5.5.3</t>
        </is>
      </c>
      <c r="B191" s="9" t="inlineStr">
        <is>
          <t>Válvula de Compuerta Tipo OS&amp;Y Flangeada de 6"</t>
        </is>
      </c>
      <c r="C191" s="10" t="inlineStr">
        <is>
          <t>UN</t>
        </is>
      </c>
      <c r="D191" s="10" t="n">
        <v>2</v>
      </c>
      <c r="E191" s="46" t="n">
        <v>1200543</v>
      </c>
      <c r="F191" s="47">
        <f>D191*E191</f>
        <v/>
      </c>
      <c r="G191" s="39" t="n"/>
    </row>
    <row r="192">
      <c r="A192" s="8" t="inlineStr">
        <is>
          <t>5.5.4</t>
        </is>
      </c>
      <c r="B192" s="9" t="inlineStr">
        <is>
          <t>Válvula de Compuerta de 2"</t>
        </is>
      </c>
      <c r="C192" s="10" t="inlineStr">
        <is>
          <t>UN</t>
        </is>
      </c>
      <c r="D192" s="10" t="n">
        <v>2</v>
      </c>
      <c r="E192" s="46" t="n">
        <v>614895</v>
      </c>
      <c r="F192" s="47">
        <f>D192*E192</f>
        <v/>
      </c>
      <c r="G192" s="39" t="n"/>
    </row>
    <row r="193">
      <c r="A193" s="8" t="inlineStr">
        <is>
          <t>5.5.5</t>
        </is>
      </c>
      <c r="B193" s="9" t="inlineStr">
        <is>
          <t>Válvula Check roscada de 6"</t>
        </is>
      </c>
      <c r="C193" s="10" t="inlineStr">
        <is>
          <t>UN</t>
        </is>
      </c>
      <c r="D193" s="10" t="n">
        <v>1</v>
      </c>
      <c r="E193" s="46" t="n">
        <v>1851793</v>
      </c>
      <c r="F193" s="47">
        <f>D193*E193</f>
        <v/>
      </c>
      <c r="G193" s="39" t="n"/>
    </row>
    <row r="194">
      <c r="A194" s="8" t="inlineStr">
        <is>
          <t>5.5.6</t>
        </is>
      </c>
      <c r="B194" s="9" t="inlineStr">
        <is>
          <t>Válvula Click de 2"</t>
        </is>
      </c>
      <c r="C194" s="10" t="inlineStr">
        <is>
          <t>UN</t>
        </is>
      </c>
      <c r="D194" s="10" t="n">
        <v>1</v>
      </c>
      <c r="E194" s="46" t="n">
        <v>475711</v>
      </c>
      <c r="F194" s="47">
        <f>D194*E194</f>
        <v/>
      </c>
      <c r="G194" s="39" t="n"/>
    </row>
    <row r="195">
      <c r="A195" s="8" t="inlineStr">
        <is>
          <t>5.5.7</t>
        </is>
      </c>
      <c r="B195" s="9" t="inlineStr">
        <is>
          <t>Válvula de Alivio 4" x 4"</t>
        </is>
      </c>
      <c r="C195" s="10" t="inlineStr">
        <is>
          <t>UN</t>
        </is>
      </c>
      <c r="D195" s="10" t="n">
        <v>1</v>
      </c>
      <c r="E195" s="46" t="n">
        <v>634282</v>
      </c>
      <c r="F195" s="47">
        <f>D195*E195</f>
        <v/>
      </c>
      <c r="G195" s="39" t="n"/>
    </row>
    <row r="196">
      <c r="A196" s="8" t="inlineStr">
        <is>
          <t>5.5.8</t>
        </is>
      </c>
      <c r="B196" s="9" t="inlineStr">
        <is>
          <t>Sensor de Flujo de 6"</t>
        </is>
      </c>
      <c r="C196" s="10" t="inlineStr">
        <is>
          <t>UN</t>
        </is>
      </c>
      <c r="D196" s="10" t="n">
        <v>1</v>
      </c>
      <c r="E196" s="46" t="n">
        <v>2759125</v>
      </c>
      <c r="F196" s="47">
        <f>D196*E196</f>
        <v/>
      </c>
      <c r="G196" s="39" t="n"/>
    </row>
    <row r="197">
      <c r="A197" s="8" t="inlineStr">
        <is>
          <t>5.5.9</t>
        </is>
      </c>
      <c r="B197" s="9" t="inlineStr">
        <is>
          <t>Sensor de Flujo de 2"</t>
        </is>
      </c>
      <c r="C197" s="10" t="inlineStr">
        <is>
          <t>UN</t>
        </is>
      </c>
      <c r="D197" s="10" t="n">
        <v>1</v>
      </c>
      <c r="E197" s="46" t="n">
        <v>365663</v>
      </c>
      <c r="F197" s="47">
        <f>D197*E197</f>
        <v/>
      </c>
      <c r="G197" s="39" t="n"/>
    </row>
    <row r="198">
      <c r="A198" s="8" t="inlineStr">
        <is>
          <t>5.5.10</t>
        </is>
      </c>
      <c r="B198" s="9" t="inlineStr">
        <is>
          <t>Sensor de Presión</t>
        </is>
      </c>
      <c r="C198" s="10" t="inlineStr">
        <is>
          <t>UN</t>
        </is>
      </c>
      <c r="D198" s="10" t="n">
        <v>1</v>
      </c>
      <c r="E198" s="46" t="n">
        <v>3948403</v>
      </c>
      <c r="F198" s="47">
        <f>D198*E198</f>
        <v/>
      </c>
      <c r="G198" s="39" t="n"/>
    </row>
    <row r="199">
      <c r="A199" s="8" t="inlineStr">
        <is>
          <t>5.5.11</t>
        </is>
      </c>
      <c r="B199" s="9" t="inlineStr">
        <is>
          <t>Medidor de Flujo Tipo Venturi de 6"</t>
        </is>
      </c>
      <c r="C199" s="10" t="inlineStr">
        <is>
          <t>UN</t>
        </is>
      </c>
      <c r="D199" s="10" t="n">
        <v>1</v>
      </c>
      <c r="E199" s="46" t="n">
        <v>94825</v>
      </c>
      <c r="F199" s="47">
        <f>D199*E199</f>
        <v/>
      </c>
      <c r="G199" s="39" t="n"/>
    </row>
    <row r="200">
      <c r="A200" s="8" t="inlineStr">
        <is>
          <t>5.5.12</t>
        </is>
      </c>
      <c r="B200" s="9" t="inlineStr">
        <is>
          <t>Manómetros 3.5 Pulg</t>
        </is>
      </c>
      <c r="C200" s="10" t="inlineStr">
        <is>
          <t>UN</t>
        </is>
      </c>
      <c r="D200" s="10" t="n">
        <v>2</v>
      </c>
      <c r="E200" s="46" t="n">
        <v>94825</v>
      </c>
      <c r="F200" s="47">
        <f>D200*E200</f>
        <v/>
      </c>
      <c r="G200" s="39" t="n"/>
    </row>
    <row r="201">
      <c r="A201" s="12" t="n">
        <v>6</v>
      </c>
      <c r="B201" s="29" t="inlineStr">
        <is>
          <t>SISTEMA DE DETECCION DE INCENDIO</t>
        </is>
      </c>
      <c r="C201" s="10" t="n"/>
      <c r="D201" s="10" t="n"/>
      <c r="E201" s="46" t="n"/>
      <c r="F201" s="47" t="n"/>
      <c r="G201" s="39" t="n"/>
    </row>
    <row r="202">
      <c r="A202" s="12" t="inlineStr">
        <is>
          <t>6.1</t>
        </is>
      </c>
      <c r="B202" s="29" t="inlineStr">
        <is>
          <t>SENSORES Y DISPOSITIVOS</t>
        </is>
      </c>
      <c r="C202" s="10" t="n"/>
      <c r="D202" s="10" t="n"/>
      <c r="E202" s="46" t="n"/>
      <c r="F202" s="47" t="n"/>
      <c r="G202" s="39" t="n"/>
    </row>
    <row r="203">
      <c r="A203" s="8" t="inlineStr">
        <is>
          <t>6.1.1</t>
        </is>
      </c>
      <c r="B203" s="9" t="inlineStr">
        <is>
          <t>Detector Humo Inteligente</t>
        </is>
      </c>
      <c r="C203" s="10" t="inlineStr">
        <is>
          <t>UN</t>
        </is>
      </c>
      <c r="D203" s="10" t="n">
        <v>82</v>
      </c>
      <c r="E203" s="46" t="n">
        <v>120884</v>
      </c>
      <c r="F203" s="47">
        <f>D203*E203</f>
        <v/>
      </c>
      <c r="G203" s="39" t="n"/>
    </row>
    <row r="204">
      <c r="A204" s="8" t="inlineStr">
        <is>
          <t>6.1.2</t>
        </is>
      </c>
      <c r="B204" s="9" t="inlineStr">
        <is>
          <t>Detector Termovelocimétrico Inteligente</t>
        </is>
      </c>
      <c r="C204" s="10" t="inlineStr">
        <is>
          <t>UN</t>
        </is>
      </c>
      <c r="D204" s="10" t="n">
        <v>226</v>
      </c>
      <c r="E204" s="46" t="n">
        <v>116231</v>
      </c>
      <c r="F204" s="47">
        <f>D204*E204</f>
        <v/>
      </c>
      <c r="G204" s="39" t="n"/>
    </row>
    <row r="205">
      <c r="A205" s="8" t="inlineStr">
        <is>
          <t>6.1.3</t>
        </is>
      </c>
      <c r="B205" s="9" t="inlineStr">
        <is>
          <t>Pulsador Manual de Alarma</t>
        </is>
      </c>
      <c r="C205" s="10" t="inlineStr">
        <is>
          <t>UN</t>
        </is>
      </c>
      <c r="D205" s="10" t="n">
        <v>37</v>
      </c>
      <c r="E205" s="46" t="n">
        <v>296858</v>
      </c>
      <c r="F205" s="47">
        <f>D205*E205</f>
        <v/>
      </c>
      <c r="G205" s="39" t="n"/>
    </row>
    <row r="206">
      <c r="A206" s="8" t="inlineStr">
        <is>
          <t>6.1.4</t>
        </is>
      </c>
      <c r="B206" s="9" t="inlineStr">
        <is>
          <t>Modulo de Monitoreo</t>
        </is>
      </c>
      <c r="C206" s="10" t="inlineStr">
        <is>
          <t>UN</t>
        </is>
      </c>
      <c r="D206" s="10" t="n">
        <v>83</v>
      </c>
      <c r="E206" s="46" t="n">
        <v>111487</v>
      </c>
      <c r="F206" s="47">
        <f>D206*E206</f>
        <v/>
      </c>
      <c r="G206" s="39" t="n"/>
    </row>
    <row r="207">
      <c r="A207" s="8" t="inlineStr">
        <is>
          <t>6.1.5</t>
        </is>
      </c>
      <c r="B207" s="9" t="inlineStr">
        <is>
          <t>Modulo de Control</t>
        </is>
      </c>
      <c r="C207" s="10" t="inlineStr">
        <is>
          <t>UN</t>
        </is>
      </c>
      <c r="D207" s="10" t="n">
        <v>37</v>
      </c>
      <c r="E207" s="46" t="n">
        <v>153161</v>
      </c>
      <c r="F207" s="47">
        <f>D207*E207</f>
        <v/>
      </c>
      <c r="G207" s="39" t="n"/>
    </row>
    <row r="208">
      <c r="A208" s="8" t="inlineStr">
        <is>
          <t>6.1.6</t>
        </is>
      </c>
      <c r="B208" s="9" t="inlineStr">
        <is>
          <t>Modulo de Aislación</t>
        </is>
      </c>
      <c r="C208" s="10" t="inlineStr">
        <is>
          <t>UN</t>
        </is>
      </c>
      <c r="D208" s="10" t="n">
        <v>33</v>
      </c>
      <c r="E208" s="46" t="n">
        <v>119406</v>
      </c>
      <c r="F208" s="47">
        <f>D208*E208</f>
        <v/>
      </c>
      <c r="G208" s="39" t="n"/>
    </row>
    <row r="209">
      <c r="A209" s="8" t="inlineStr">
        <is>
          <t>6.1.7</t>
        </is>
      </c>
      <c r="B209" s="9" t="inlineStr">
        <is>
          <t>Sirena con Luz Estroboscópica</t>
        </is>
      </c>
      <c r="C209" s="10" t="inlineStr">
        <is>
          <t>UN</t>
        </is>
      </c>
      <c r="D209" s="10" t="n">
        <v>37</v>
      </c>
      <c r="E209" s="46" t="n">
        <v>198683</v>
      </c>
      <c r="F209" s="47">
        <f>D209*E209</f>
        <v/>
      </c>
      <c r="G209" s="39" t="n"/>
    </row>
    <row r="210">
      <c r="A210" s="12" t="inlineStr">
        <is>
          <t>6.2</t>
        </is>
      </c>
      <c r="B210" s="29" t="inlineStr">
        <is>
          <t>UNIDAD DE CONTROL</t>
        </is>
      </c>
      <c r="C210" s="10" t="n"/>
      <c r="D210" s="10" t="n"/>
      <c r="E210" s="46" t="n"/>
      <c r="F210" s="47" t="n"/>
      <c r="G210" s="39" t="n"/>
    </row>
    <row r="211">
      <c r="A211" s="8" t="inlineStr">
        <is>
          <t>6.2.1</t>
        </is>
      </c>
      <c r="B211" s="9" t="inlineStr">
        <is>
          <t>Panel de Alarmas de Incendio Inteligente NFS-3030</t>
        </is>
      </c>
      <c r="C211" s="10" t="inlineStr">
        <is>
          <t>UN</t>
        </is>
      </c>
      <c r="D211" s="10" t="n">
        <v>1</v>
      </c>
      <c r="E211" s="46" t="n">
        <v>5615538</v>
      </c>
      <c r="F211" s="47">
        <f>D211*E211</f>
        <v/>
      </c>
      <c r="G211" s="39" t="n"/>
    </row>
    <row r="212">
      <c r="A212" s="8" t="inlineStr">
        <is>
          <t>6.2.2</t>
        </is>
      </c>
      <c r="B212" s="9" t="inlineStr">
        <is>
          <t>Fuente de Poder remota 8.0 Ampa con cargador y gabinete, 240 VAC</t>
        </is>
      </c>
      <c r="C212" s="10" t="inlineStr">
        <is>
          <t>UN</t>
        </is>
      </c>
      <c r="D212" s="10" t="n">
        <v>3</v>
      </c>
      <c r="E212" s="46" t="n">
        <v>38057</v>
      </c>
      <c r="F212" s="47">
        <f>D212*E212</f>
        <v/>
      </c>
      <c r="G212" s="39" t="n"/>
    </row>
    <row r="213">
      <c r="A213" s="8" t="inlineStr">
        <is>
          <t>6.2.3</t>
        </is>
      </c>
      <c r="B213" s="9" t="inlineStr">
        <is>
          <t>Baterías 12 V</t>
        </is>
      </c>
      <c r="C213" s="10" t="inlineStr">
        <is>
          <t>UN</t>
        </is>
      </c>
      <c r="D213" s="10" t="n">
        <v>2</v>
      </c>
      <c r="E213" s="46" t="n">
        <v>114327</v>
      </c>
      <c r="F213" s="47">
        <f>D213*E213</f>
        <v/>
      </c>
      <c r="G213" s="39" t="n"/>
    </row>
    <row r="214">
      <c r="A214" s="12" t="inlineStr">
        <is>
          <t>6.3</t>
        </is>
      </c>
      <c r="B214" s="29" t="inlineStr">
        <is>
          <t>CABLEADO</t>
        </is>
      </c>
      <c r="C214" s="10" t="n"/>
      <c r="D214" s="10" t="n"/>
      <c r="E214" s="46" t="n"/>
      <c r="F214" s="47" t="n"/>
      <c r="G214" s="39" t="n"/>
    </row>
    <row r="215">
      <c r="A215" s="8" t="inlineStr">
        <is>
          <t>6.3.1</t>
        </is>
      </c>
      <c r="B215" s="9" t="inlineStr">
        <is>
          <t>Cable Resistente al Fuego FPLR-P</t>
        </is>
      </c>
      <c r="C215" s="10" t="inlineStr">
        <is>
          <t>MTS</t>
        </is>
      </c>
      <c r="D215" s="10" t="n">
        <v>1920</v>
      </c>
      <c r="E215" s="46" t="n">
        <v>3253</v>
      </c>
      <c r="F215" s="47">
        <f>D215*E215</f>
        <v/>
      </c>
      <c r="G215" s="39" t="n"/>
    </row>
    <row r="216">
      <c r="A216" s="8" t="inlineStr">
        <is>
          <t>6.3.2</t>
        </is>
      </c>
      <c r="B216" s="9" t="inlineStr">
        <is>
          <t>Canalización Detección EMT 3/4"</t>
        </is>
      </c>
      <c r="C216" s="10" t="inlineStr">
        <is>
          <t>MTS</t>
        </is>
      </c>
      <c r="D216" s="10" t="n">
        <v>1672</v>
      </c>
      <c r="E216" s="46" t="n">
        <v>10650</v>
      </c>
      <c r="F216" s="47">
        <f>D216*E216</f>
        <v/>
      </c>
      <c r="G216" s="39" t="n"/>
    </row>
    <row r="217">
      <c r="A217" s="8" t="inlineStr">
        <is>
          <t>6.3.3</t>
        </is>
      </c>
      <c r="B217" s="9" t="inlineStr">
        <is>
          <t>Canalización Detección Galvanizada 3/4"</t>
        </is>
      </c>
      <c r="C217" s="10" t="inlineStr">
        <is>
          <t>MTS</t>
        </is>
      </c>
      <c r="D217" s="10" t="n">
        <v>263</v>
      </c>
      <c r="E217" s="46" t="n">
        <v>15124</v>
      </c>
      <c r="F217" s="47">
        <f>D217*E217</f>
        <v/>
      </c>
      <c r="G217" s="39" t="n"/>
    </row>
    <row r="218">
      <c r="A218" s="8" t="inlineStr">
        <is>
          <t>6.3.4</t>
        </is>
      </c>
      <c r="B218" s="9" t="inlineStr">
        <is>
          <t>Canalización Detección PVC 32mm</t>
        </is>
      </c>
      <c r="C218" s="10" t="inlineStr">
        <is>
          <t>MTS</t>
        </is>
      </c>
      <c r="D218" s="10" t="n">
        <v>1</v>
      </c>
      <c r="E218" s="46" t="n">
        <v>5862</v>
      </c>
      <c r="F218" s="47">
        <f>D218*E218</f>
        <v/>
      </c>
      <c r="G218" s="39" t="n"/>
    </row>
    <row r="219">
      <c r="A219" s="12" t="inlineStr">
        <is>
          <t>6.4</t>
        </is>
      </c>
      <c r="B219" s="29" t="inlineStr">
        <is>
          <t>MANO DE OBRA</t>
        </is>
      </c>
      <c r="C219" s="10" t="n"/>
      <c r="D219" s="10" t="n"/>
      <c r="E219" s="46" t="n"/>
      <c r="F219" s="47" t="n"/>
      <c r="G219" s="39" t="n"/>
    </row>
    <row r="220">
      <c r="A220" s="8" t="inlineStr">
        <is>
          <t>6.4.1</t>
        </is>
      </c>
      <c r="B220" s="9" t="inlineStr">
        <is>
          <t>Programación</t>
        </is>
      </c>
      <c r="C220" s="10" t="inlineStr">
        <is>
          <t>UN</t>
        </is>
      </c>
      <c r="D220" s="10" t="n">
        <v>1</v>
      </c>
      <c r="E220" s="46" t="n">
        <v>7403969</v>
      </c>
      <c r="F220" s="47">
        <f>D220*E220</f>
        <v/>
      </c>
      <c r="G220" s="39" t="n"/>
    </row>
    <row r="221">
      <c r="A221" s="12" t="n">
        <v>7</v>
      </c>
      <c r="B221" s="29" t="inlineStr">
        <is>
          <t>ELECTRICIDAD</t>
        </is>
      </c>
      <c r="C221" s="10" t="n"/>
      <c r="D221" s="10" t="n"/>
      <c r="E221" s="46" t="n"/>
      <c r="F221" s="47" t="n"/>
      <c r="G221" s="39" t="n"/>
    </row>
    <row r="222">
      <c r="A222" s="12" t="inlineStr">
        <is>
          <t>7.1</t>
        </is>
      </c>
      <c r="B222" s="29" t="inlineStr">
        <is>
          <t>TABLERO ELECTRICO</t>
        </is>
      </c>
      <c r="C222" s="10" t="n"/>
      <c r="D222" s="10" t="n"/>
      <c r="E222" s="46" t="n"/>
      <c r="F222" s="47" t="n"/>
      <c r="G222" s="39" t="n"/>
    </row>
    <row r="223">
      <c r="A223" s="8" t="inlineStr">
        <is>
          <t>7.1.1</t>
        </is>
      </c>
      <c r="B223" s="9" t="inlineStr">
        <is>
          <t>TABLERO TD COMP "DACO"</t>
        </is>
      </c>
      <c r="C223" s="10" t="inlineStr">
        <is>
          <t>UN</t>
        </is>
      </c>
      <c r="D223" s="10" t="n">
        <v>1</v>
      </c>
      <c r="E223" s="46" t="n">
        <v>2809605</v>
      </c>
      <c r="F223" s="47">
        <f>D223*E223</f>
        <v/>
      </c>
      <c r="G223" s="39" t="n"/>
    </row>
    <row r="224">
      <c r="A224" s="8" t="inlineStr">
        <is>
          <t>7.1.2</t>
        </is>
      </c>
      <c r="B224" s="9" t="inlineStr">
        <is>
          <t>TABLERO TD COMP "DADM"</t>
        </is>
      </c>
      <c r="C224" s="10" t="inlineStr">
        <is>
          <t>UN</t>
        </is>
      </c>
      <c r="D224" s="10" t="n">
        <v>1</v>
      </c>
      <c r="E224" s="46" t="n">
        <v>2842275</v>
      </c>
      <c r="F224" s="47">
        <f>D224*E224</f>
        <v/>
      </c>
      <c r="G224" s="39" t="n"/>
    </row>
    <row r="225">
      <c r="A225" s="8" t="inlineStr">
        <is>
          <t>7.1.3</t>
        </is>
      </c>
      <c r="B225" s="9" t="inlineStr">
        <is>
          <t>TABLERO TD COMP "DAS"</t>
        </is>
      </c>
      <c r="C225" s="10" t="inlineStr">
        <is>
          <t>UN</t>
        </is>
      </c>
      <c r="D225" s="10" t="n">
        <v>1</v>
      </c>
      <c r="E225" s="46" t="n">
        <v>2842275</v>
      </c>
      <c r="F225" s="47">
        <f>D225*E225</f>
        <v/>
      </c>
      <c r="G225" s="39" t="n"/>
    </row>
    <row r="226">
      <c r="A226" s="8" t="inlineStr">
        <is>
          <t>7.1.4</t>
        </is>
      </c>
      <c r="B226" s="9" t="inlineStr">
        <is>
          <t>TABLERO TD COMP "OMS"</t>
        </is>
      </c>
      <c r="C226" s="10" t="inlineStr">
        <is>
          <t>UN</t>
        </is>
      </c>
      <c r="D226" s="10" t="n">
        <v>1</v>
      </c>
      <c r="E226" s="46" t="n">
        <v>2842275</v>
      </c>
      <c r="F226" s="47">
        <f>D226*E226</f>
        <v/>
      </c>
      <c r="G226" s="39" t="n"/>
    </row>
    <row r="227">
      <c r="A227" s="8" t="inlineStr">
        <is>
          <t>7.1.5</t>
        </is>
      </c>
      <c r="B227" s="9" t="inlineStr">
        <is>
          <t>TDFC "SBI"</t>
        </is>
      </c>
      <c r="C227" s="10" t="inlineStr">
        <is>
          <t>UN</t>
        </is>
      </c>
      <c r="D227" s="10" t="n">
        <v>1</v>
      </c>
      <c r="E227" s="46" t="n">
        <v>2626381</v>
      </c>
      <c r="F227" s="47">
        <f>D227*E227</f>
        <v/>
      </c>
      <c r="G227" s="39" t="n"/>
    </row>
    <row r="228">
      <c r="A228" s="8" t="inlineStr">
        <is>
          <t>7.1.6</t>
        </is>
      </c>
      <c r="B228" s="9" t="inlineStr">
        <is>
          <t>TDF "MO" (POR PROVEEDOR)</t>
        </is>
      </c>
      <c r="C228" s="10" t="inlineStr">
        <is>
          <t>UN</t>
        </is>
      </c>
      <c r="D228" s="10" t="n">
        <v>1</v>
      </c>
      <c r="E228" s="46" t="n">
        <v>1493733</v>
      </c>
      <c r="F228" s="47">
        <f>D228*E228</f>
        <v/>
      </c>
      <c r="G228" s="39" t="n"/>
    </row>
    <row r="229">
      <c r="A229" s="8" t="inlineStr">
        <is>
          <t>7.1.7</t>
        </is>
      </c>
      <c r="B229" s="9" t="inlineStr">
        <is>
          <t>TDFC "BP" (PROVEEDOR)</t>
        </is>
      </c>
      <c r="C229" s="10" t="inlineStr">
        <is>
          <t>UN</t>
        </is>
      </c>
      <c r="D229" s="10" t="n">
        <v>1</v>
      </c>
      <c r="E229" s="46" t="n">
        <v>1623127</v>
      </c>
      <c r="F229" s="47">
        <f>D229*E229</f>
        <v/>
      </c>
      <c r="G229" s="39" t="n"/>
    </row>
    <row r="230">
      <c r="A230" s="8" t="inlineStr">
        <is>
          <t>7.1.8</t>
        </is>
      </c>
      <c r="B230" s="9" t="inlineStr">
        <is>
          <t>TDFC "BJ" (PROVEEDOR)</t>
        </is>
      </c>
      <c r="C230" s="10" t="inlineStr">
        <is>
          <t>UN</t>
        </is>
      </c>
      <c r="D230" s="10" t="n">
        <v>1</v>
      </c>
      <c r="E230" s="46" t="n">
        <v>1236849</v>
      </c>
      <c r="F230" s="47">
        <f>D230*E230</f>
        <v/>
      </c>
      <c r="G230" s="39" t="n"/>
    </row>
    <row r="231">
      <c r="A231" s="12" t="inlineStr">
        <is>
          <t>7.2</t>
        </is>
      </c>
      <c r="B231" s="29" t="inlineStr">
        <is>
          <t>ALIMENTADOR GENERAL Y DISTRIBUCION</t>
        </is>
      </c>
      <c r="C231" s="10" t="n"/>
      <c r="D231" s="10" t="n"/>
      <c r="E231" s="46" t="n"/>
      <c r="F231" s="47" t="n"/>
      <c r="G231" s="39" t="n"/>
    </row>
    <row r="232">
      <c r="A232" s="8" t="inlineStr">
        <is>
          <t>7.2.1</t>
        </is>
      </c>
      <c r="B232" s="9" t="inlineStr">
        <is>
          <t>SUB-ALIMENTADOR "DACO"</t>
        </is>
      </c>
      <c r="C232" s="10" t="inlineStr">
        <is>
          <t>MTS</t>
        </is>
      </c>
      <c r="D232" s="10" t="n">
        <v>50</v>
      </c>
      <c r="E232" s="46" t="n">
        <v>55862</v>
      </c>
      <c r="F232" s="47">
        <f>D232*E232</f>
        <v/>
      </c>
      <c r="G232" s="39" t="n"/>
    </row>
    <row r="233">
      <c r="A233" s="8" t="inlineStr">
        <is>
          <t>7.2.2</t>
        </is>
      </c>
      <c r="B233" s="9" t="inlineStr">
        <is>
          <t>SUB-ALIMENTADOR "DADM"</t>
        </is>
      </c>
      <c r="C233" s="10" t="inlineStr">
        <is>
          <t>MTS</t>
        </is>
      </c>
      <c r="D233" s="10" t="n">
        <v>65</v>
      </c>
      <c r="E233" s="46" t="n">
        <v>55692</v>
      </c>
      <c r="F233" s="47">
        <f>D233*E233</f>
        <v/>
      </c>
      <c r="G233" s="39" t="n"/>
    </row>
    <row r="234">
      <c r="A234" s="8" t="inlineStr">
        <is>
          <t>7.2.3</t>
        </is>
      </c>
      <c r="B234" s="9" t="inlineStr">
        <is>
          <t>SUB-ALIMENTADOR "DAS"</t>
        </is>
      </c>
      <c r="C234" s="10" t="inlineStr">
        <is>
          <t>MTS</t>
        </is>
      </c>
      <c r="D234" s="10" t="n">
        <v>85</v>
      </c>
      <c r="E234" s="46" t="n">
        <v>55849</v>
      </c>
      <c r="F234" s="47">
        <f>D234*E234</f>
        <v/>
      </c>
      <c r="G234" s="39" t="n"/>
    </row>
    <row r="235">
      <c r="A235" s="8" t="inlineStr">
        <is>
          <t>7.2.4</t>
        </is>
      </c>
      <c r="B235" s="9" t="inlineStr">
        <is>
          <t>SUB-ALIMENTADOR "OMS"</t>
        </is>
      </c>
      <c r="C235" s="10" t="inlineStr">
        <is>
          <t>MTS</t>
        </is>
      </c>
      <c r="D235" s="10" t="n">
        <v>100</v>
      </c>
      <c r="E235" s="46" t="n">
        <v>57779</v>
      </c>
      <c r="F235" s="47">
        <f>D235*E235</f>
        <v/>
      </c>
      <c r="G235" s="39" t="n"/>
    </row>
    <row r="236">
      <c r="A236" s="8" t="inlineStr">
        <is>
          <t>7.2.5</t>
        </is>
      </c>
      <c r="B236" s="9" t="inlineStr">
        <is>
          <t>SUB-ALIMENTADOR "SBI"</t>
        </is>
      </c>
      <c r="C236" s="10" t="inlineStr">
        <is>
          <t>MTS</t>
        </is>
      </c>
      <c r="D236" s="10" t="n">
        <v>105</v>
      </c>
      <c r="E236" s="46" t="n">
        <v>76921</v>
      </c>
      <c r="F236" s="47">
        <f>D236*E236</f>
        <v/>
      </c>
      <c r="G236" s="39" t="n"/>
    </row>
    <row r="237">
      <c r="A237" s="8" t="inlineStr">
        <is>
          <t>7.2.6</t>
        </is>
      </c>
      <c r="B237" s="9" t="inlineStr">
        <is>
          <t>SUB-ALIMENTADOR "MO"</t>
        </is>
      </c>
      <c r="C237" s="10" t="inlineStr">
        <is>
          <t>MTS</t>
        </is>
      </c>
      <c r="D237" s="10" t="n">
        <v>8</v>
      </c>
      <c r="E237" s="46" t="n">
        <v>22798</v>
      </c>
      <c r="F237" s="47">
        <f>D237*E237</f>
        <v/>
      </c>
      <c r="G237" s="39" t="n"/>
    </row>
    <row r="238">
      <c r="A238" s="8" t="inlineStr">
        <is>
          <t>7.2.7</t>
        </is>
      </c>
      <c r="B238" s="9" t="inlineStr">
        <is>
          <t>SUB-ALIMENTADOR "BP"</t>
        </is>
      </c>
      <c r="C238" s="10" t="inlineStr">
        <is>
          <t>MTS</t>
        </is>
      </c>
      <c r="D238" s="10" t="n">
        <v>5</v>
      </c>
      <c r="E238" s="46" t="n">
        <v>31606</v>
      </c>
      <c r="F238" s="47">
        <f>D238*E238</f>
        <v/>
      </c>
      <c r="G238" s="39" t="n"/>
    </row>
    <row r="239">
      <c r="A239" s="8" t="inlineStr">
        <is>
          <t>7.2.8</t>
        </is>
      </c>
      <c r="B239" s="9" t="inlineStr">
        <is>
          <t>SUB-ALIMENTADOR "BJ"</t>
        </is>
      </c>
      <c r="C239" s="10" t="inlineStr">
        <is>
          <t>MTS</t>
        </is>
      </c>
      <c r="D239" s="10" t="n">
        <v>5</v>
      </c>
      <c r="E239" s="46" t="n">
        <v>31606</v>
      </c>
      <c r="F239" s="47">
        <f>D239*E239</f>
        <v/>
      </c>
      <c r="G239" s="39" t="n"/>
    </row>
    <row r="240">
      <c r="A240" s="12" t="inlineStr">
        <is>
          <t>7.3</t>
        </is>
      </c>
      <c r="B240" s="29" t="inlineStr">
        <is>
          <t>DISTRIBUCION DE ILUMINACION  ENCHUFES Y CLIMATIZACION</t>
        </is>
      </c>
      <c r="C240" s="10" t="n"/>
      <c r="D240" s="10" t="n"/>
      <c r="E240" s="46" t="n"/>
      <c r="F240" s="47" t="n"/>
      <c r="G240" s="39" t="n"/>
    </row>
    <row r="241">
      <c r="A241" s="8" t="inlineStr">
        <is>
          <t>7.3.1</t>
        </is>
      </c>
      <c r="B241" s="9" t="inlineStr">
        <is>
          <t>CENTROS DE ILUMINACION</t>
        </is>
      </c>
      <c r="C241" s="10" t="inlineStr">
        <is>
          <t>UN</t>
        </is>
      </c>
      <c r="D241" s="10" t="n">
        <v>8</v>
      </c>
      <c r="E241" s="46" t="n">
        <v>26492</v>
      </c>
      <c r="F241" s="47">
        <f>D241*E241</f>
        <v/>
      </c>
      <c r="G241" s="39" t="n"/>
    </row>
    <row r="242">
      <c r="A242" s="8" t="inlineStr">
        <is>
          <t>7.3.2</t>
        </is>
      </c>
      <c r="B242" s="9" t="inlineStr">
        <is>
          <t>INTERRUPTOR 892</t>
        </is>
      </c>
      <c r="C242" s="10" t="inlineStr">
        <is>
          <t>UN</t>
        </is>
      </c>
      <c r="D242" s="10" t="n">
        <v>1</v>
      </c>
      <c r="E242" s="46" t="n">
        <v>62612</v>
      </c>
      <c r="F242" s="47">
        <f>D242*E242</f>
        <v/>
      </c>
      <c r="G242" s="39" t="n"/>
    </row>
    <row r="243">
      <c r="A243" s="8" t="inlineStr">
        <is>
          <t>7.3.3</t>
        </is>
      </c>
      <c r="B243" s="9" t="inlineStr">
        <is>
          <t>KIT EMERGENCIA LEDS</t>
        </is>
      </c>
      <c r="C243" s="10" t="inlineStr">
        <is>
          <t>UN</t>
        </is>
      </c>
      <c r="D243" s="10" t="n">
        <v>6</v>
      </c>
      <c r="E243" s="46" t="n">
        <v>28914</v>
      </c>
      <c r="F243" s="47">
        <f>D243*E243</f>
        <v/>
      </c>
      <c r="G243" s="39" t="n"/>
    </row>
    <row r="244">
      <c r="A244" s="8" t="inlineStr">
        <is>
          <t>7.3.4</t>
        </is>
      </c>
      <c r="B244" s="9" t="inlineStr">
        <is>
          <t>CENTROS ENCHUFES</t>
        </is>
      </c>
      <c r="C244" s="10" t="inlineStr">
        <is>
          <t>UN</t>
        </is>
      </c>
      <c r="D244" s="10" t="n">
        <v>1</v>
      </c>
      <c r="E244" s="46" t="n">
        <v>60880</v>
      </c>
      <c r="F244" s="47">
        <f>D244*E244</f>
        <v/>
      </c>
      <c r="G244" s="39" t="n"/>
    </row>
    <row r="245">
      <c r="A245" s="8" t="inlineStr">
        <is>
          <t>7.3.5</t>
        </is>
      </c>
      <c r="B245" s="9" t="inlineStr">
        <is>
          <t>ENCHUFE DOBLE 16A</t>
        </is>
      </c>
      <c r="C245" s="10" t="inlineStr">
        <is>
          <t>UN</t>
        </is>
      </c>
      <c r="D245" s="10" t="n">
        <v>1</v>
      </c>
      <c r="E245" s="46" t="n">
        <v>67552</v>
      </c>
      <c r="F245" s="47">
        <f>D245*E245</f>
        <v/>
      </c>
      <c r="G245" s="39" t="n"/>
    </row>
    <row r="246">
      <c r="A246" s="8" t="inlineStr">
        <is>
          <t>7.3.6</t>
        </is>
      </c>
      <c r="B246" s="9" t="inlineStr">
        <is>
          <t>CENTROS ARRANQUES</t>
        </is>
      </c>
      <c r="C246" s="10" t="inlineStr">
        <is>
          <t>UN</t>
        </is>
      </c>
      <c r="D246" s="10" t="n">
        <v>4</v>
      </c>
      <c r="E246" s="46" t="n">
        <v>162831</v>
      </c>
      <c r="F246" s="47">
        <f>D246*E246</f>
        <v/>
      </c>
      <c r="G246" s="39" t="n"/>
    </row>
    <row r="247">
      <c r="A247" s="8" t="inlineStr">
        <is>
          <t>7.3.7</t>
        </is>
      </c>
      <c r="B247" s="9" t="inlineStr">
        <is>
          <t>CAJA METALICA 100x100mm</t>
        </is>
      </c>
      <c r="C247" s="10" t="inlineStr">
        <is>
          <t>UN</t>
        </is>
      </c>
      <c r="D247" s="10" t="n">
        <v>8</v>
      </c>
      <c r="E247" s="46" t="n">
        <v>18475</v>
      </c>
      <c r="F247" s="47">
        <f>D247*E247</f>
        <v/>
      </c>
      <c r="G247" s="39" t="n"/>
    </row>
    <row r="248">
      <c r="A248" s="12" t="inlineStr">
        <is>
          <t>7.4</t>
        </is>
      </c>
      <c r="B248" s="29" t="inlineStr">
        <is>
          <t>RED INERTE DE BOMBEROS</t>
        </is>
      </c>
      <c r="C248" s="10" t="n"/>
      <c r="D248" s="10" t="n"/>
      <c r="E248" s="46" t="n"/>
      <c r="F248" s="47" t="n"/>
      <c r="G248" s="39" t="n"/>
    </row>
    <row r="249">
      <c r="A249" s="8" t="inlineStr">
        <is>
          <t>7.4.1</t>
        </is>
      </c>
      <c r="B249" s="9" t="inlineStr">
        <is>
          <t>ENCHUFE HELMETO DE BOMBEROS P17 2P+T 16A 220V IP 67</t>
        </is>
      </c>
      <c r="C249" s="10" t="inlineStr">
        <is>
          <t>UN</t>
        </is>
      </c>
      <c r="D249" s="10" t="n">
        <v>18</v>
      </c>
      <c r="E249" s="46" t="n">
        <v>62160</v>
      </c>
      <c r="F249" s="47">
        <f>D249*E249</f>
        <v/>
      </c>
      <c r="G249" s="39" t="n"/>
    </row>
    <row r="250">
      <c r="A250" s="8" t="inlineStr">
        <is>
          <t>7.4.2</t>
        </is>
      </c>
      <c r="B250" s="9" t="inlineStr">
        <is>
          <t>ENCHUFE RED BOMBEROS P17 2P+T 16A 220V IP 67</t>
        </is>
      </c>
      <c r="C250" s="10" t="inlineStr">
        <is>
          <t>UN</t>
        </is>
      </c>
      <c r="D250" s="10" t="n">
        <v>1</v>
      </c>
      <c r="E250" s="46" t="n">
        <v>75646</v>
      </c>
      <c r="F250" s="47">
        <f>D250*E250</f>
        <v/>
      </c>
      <c r="G250" s="39" t="n"/>
    </row>
    <row r="251">
      <c r="A251" s="8" t="inlineStr">
        <is>
          <t>7.4.3</t>
        </is>
      </c>
      <c r="B251" s="9" t="inlineStr">
        <is>
          <t>CAJA METALICA 100x100mm</t>
        </is>
      </c>
      <c r="C251" s="10" t="inlineStr">
        <is>
          <t>UN</t>
        </is>
      </c>
      <c r="D251" s="10" t="n">
        <v>51</v>
      </c>
      <c r="E251" s="46" t="n">
        <v>18475</v>
      </c>
      <c r="F251" s="47">
        <f>D251*E251</f>
        <v/>
      </c>
      <c r="G251" s="39" t="n"/>
    </row>
    <row r="252">
      <c r="A252" s="8" t="inlineStr">
        <is>
          <t>7.4.4</t>
        </is>
      </c>
      <c r="B252" s="9" t="inlineStr">
        <is>
          <t>CINTA 25MM</t>
        </is>
      </c>
      <c r="C252" s="10" t="inlineStr">
        <is>
          <t>MTS</t>
        </is>
      </c>
      <c r="D252" s="10" t="n">
        <v>11</v>
      </c>
      <c r="E252" s="46" t="n">
        <v>26013</v>
      </c>
      <c r="F252" s="47">
        <f>D252*E252</f>
        <v/>
      </c>
      <c r="G252" s="39" t="n"/>
    </row>
    <row r="253">
      <c r="A253" s="8" t="inlineStr">
        <is>
          <t>7.4.5</t>
        </is>
      </c>
      <c r="B253" s="9" t="inlineStr">
        <is>
          <t>CAG 25MM</t>
        </is>
      </c>
      <c r="C253" s="10" t="inlineStr">
        <is>
          <t>MTS</t>
        </is>
      </c>
      <c r="D253" s="10" t="n">
        <v>420</v>
      </c>
      <c r="E253" s="46" t="n">
        <v>14232</v>
      </c>
      <c r="F253" s="47">
        <f>D253*E253</f>
        <v/>
      </c>
      <c r="G253" s="39" t="n"/>
    </row>
    <row r="254">
      <c r="A254" s="8" t="inlineStr">
        <is>
          <t>7.4.6</t>
        </is>
      </c>
      <c r="B254" s="9" t="inlineStr">
        <is>
          <t>CONDUCTOR SILICONADO RZ1-K AS+</t>
        </is>
      </c>
      <c r="C254" s="10" t="inlineStr">
        <is>
          <t>MTS</t>
        </is>
      </c>
      <c r="D254" s="10" t="n">
        <v>638</v>
      </c>
      <c r="E254" s="46" t="n">
        <v>19913</v>
      </c>
      <c r="F254" s="47">
        <f>D254*E254</f>
        <v/>
      </c>
      <c r="G254" s="39" t="n"/>
    </row>
    <row r="255">
      <c r="A255" s="8" t="inlineStr">
        <is>
          <t>7.4.7</t>
        </is>
      </c>
      <c r="B255" s="9" t="inlineStr">
        <is>
          <t>PVC 50MM SCH 40</t>
        </is>
      </c>
      <c r="C255" s="10" t="inlineStr">
        <is>
          <t>MTS</t>
        </is>
      </c>
      <c r="D255" s="10" t="n">
        <v>222</v>
      </c>
      <c r="E255" s="46" t="n">
        <v>9179</v>
      </c>
      <c r="F255" s="47">
        <f>D255*E255</f>
        <v/>
      </c>
      <c r="G255" s="39" t="n"/>
    </row>
    <row r="256">
      <c r="A256" s="12" t="inlineStr">
        <is>
          <t>7.5</t>
        </is>
      </c>
      <c r="B256" s="29" t="inlineStr">
        <is>
          <t>ILUMINACION</t>
        </is>
      </c>
      <c r="C256" s="10" t="n"/>
      <c r="D256" s="10" t="n"/>
      <c r="E256" s="46" t="n"/>
      <c r="F256" s="47" t="n"/>
      <c r="G256" s="39" t="n"/>
    </row>
    <row r="257">
      <c r="A257" s="8" t="inlineStr">
        <is>
          <t>7.5.1</t>
        </is>
      </c>
      <c r="B257" s="9" t="inlineStr">
        <is>
          <t>EQUIPO LED HERMETICO ESTANCO 40W</t>
        </is>
      </c>
      <c r="C257" s="10" t="inlineStr">
        <is>
          <t>UN</t>
        </is>
      </c>
      <c r="D257" s="10" t="n">
        <v>6</v>
      </c>
      <c r="E257" s="46" t="n">
        <v>32348</v>
      </c>
      <c r="F257" s="47">
        <f>D257*E257</f>
        <v/>
      </c>
      <c r="G257" s="39" t="n"/>
    </row>
    <row r="258">
      <c r="A258" s="8" t="inlineStr">
        <is>
          <t>7.5.2</t>
        </is>
      </c>
      <c r="B258" s="9" t="inlineStr">
        <is>
          <t>LED TIPO TORTUGA 15W</t>
        </is>
      </c>
      <c r="C258" s="10" t="inlineStr">
        <is>
          <t>UN</t>
        </is>
      </c>
      <c r="D258" s="10" t="n">
        <v>2</v>
      </c>
      <c r="E258" s="46" t="n">
        <v>22492</v>
      </c>
      <c r="F258" s="47">
        <f>D258*E258</f>
        <v/>
      </c>
      <c r="G258" s="39" t="n"/>
    </row>
    <row r="259">
      <c r="A259" s="12" t="inlineStr">
        <is>
          <t>7.6</t>
        </is>
      </c>
      <c r="B259" s="29" t="inlineStr">
        <is>
          <t>OBRAS CIVILES Y CAMARAS</t>
        </is>
      </c>
      <c r="C259" s="10" t="n"/>
      <c r="D259" s="10" t="n"/>
      <c r="E259" s="46" t="n"/>
      <c r="F259" s="47" t="n"/>
      <c r="G259" s="39" t="n"/>
    </row>
    <row r="260">
      <c r="A260" s="8" t="inlineStr">
        <is>
          <t>7.6.1</t>
        </is>
      </c>
      <c r="B260" s="9" t="inlineStr">
        <is>
          <t>CAMARA TIPO D TRANSITO LIVIANO</t>
        </is>
      </c>
      <c r="C260" s="10" t="inlineStr">
        <is>
          <t>UN</t>
        </is>
      </c>
      <c r="D260" s="10" t="n">
        <v>7</v>
      </c>
      <c r="E260" s="46" t="n">
        <v>814931</v>
      </c>
      <c r="F260" s="47">
        <f>D260*E260</f>
        <v/>
      </c>
      <c r="G260" s="39" t="n"/>
    </row>
    <row r="261">
      <c r="A261" s="12" t="inlineStr">
        <is>
          <t>7.7</t>
        </is>
      </c>
      <c r="B261" s="29" t="inlineStr">
        <is>
          <t>TRAMITES DE RECEPCION ELECTRICA Y OTROS</t>
        </is>
      </c>
      <c r="C261" s="10" t="n"/>
      <c r="D261" s="10" t="n"/>
      <c r="E261" s="46" t="n"/>
      <c r="F261" s="47" t="n"/>
      <c r="G261" s="39" t="n"/>
    </row>
    <row r="262">
      <c r="A262" s="8" t="inlineStr">
        <is>
          <t>7.7.1</t>
        </is>
      </c>
      <c r="B262" s="9" t="inlineStr">
        <is>
          <t>RECEPCION  ELECTRICA DEFINITIVA TE-1</t>
        </is>
      </c>
      <c r="C262" s="10" t="inlineStr">
        <is>
          <t>UN</t>
        </is>
      </c>
      <c r="D262" s="10" t="n">
        <v>1</v>
      </c>
      <c r="E262" s="46" t="n">
        <v>570853</v>
      </c>
      <c r="F262" s="47">
        <f>D262*E262</f>
        <v/>
      </c>
      <c r="G262" s="39" t="n"/>
    </row>
    <row r="263">
      <c r="A263" s="8" t="inlineStr">
        <is>
          <t>7.7.2</t>
        </is>
      </c>
      <c r="B263" s="9" t="inlineStr">
        <is>
          <t>PLANOS AS-BUILT</t>
        </is>
      </c>
      <c r="C263" s="10" t="inlineStr">
        <is>
          <t>UN</t>
        </is>
      </c>
      <c r="D263" s="10" t="n">
        <v>1</v>
      </c>
      <c r="E263" s="46" t="n">
        <v>570853</v>
      </c>
      <c r="F263" s="47">
        <f>D263*E263</f>
        <v/>
      </c>
      <c r="G263" s="39" t="n"/>
    </row>
    <row r="264">
      <c r="A264" s="12" t="n">
        <v>8</v>
      </c>
      <c r="B264" s="29" t="inlineStr">
        <is>
          <t>INSTALACION SANITARIAS - AGUA POTABLE</t>
        </is>
      </c>
      <c r="C264" s="10" t="n"/>
      <c r="D264" s="10" t="n"/>
      <c r="E264" s="46" t="n"/>
      <c r="F264" s="47" t="n"/>
      <c r="G264" s="39" t="n"/>
    </row>
    <row r="265">
      <c r="A265" s="12" t="inlineStr">
        <is>
          <t>8.1</t>
        </is>
      </c>
      <c r="B265" s="29" t="inlineStr">
        <is>
          <t>MOVIMIENTOS DE TIERRAS</t>
        </is>
      </c>
      <c r="C265" s="10" t="n"/>
      <c r="D265" s="10" t="n"/>
      <c r="E265" s="46" t="n"/>
      <c r="F265" s="47" t="n"/>
      <c r="G265" s="39" t="n"/>
    </row>
    <row r="266">
      <c r="A266" s="8" t="inlineStr">
        <is>
          <t>8.1.1</t>
        </is>
      </c>
      <c r="B266" s="9" t="inlineStr">
        <is>
          <t>EXCAVACIONES</t>
        </is>
      </c>
      <c r="C266" s="10" t="inlineStr">
        <is>
          <t>M3</t>
        </is>
      </c>
      <c r="D266" s="10" t="n">
        <v>63.588</v>
      </c>
      <c r="E266" s="46" t="n">
        <v>66600</v>
      </c>
      <c r="F266" s="47">
        <f>D266*E266</f>
        <v/>
      </c>
      <c r="G266" s="39" t="n"/>
    </row>
    <row r="267">
      <c r="A267" s="8" t="inlineStr">
        <is>
          <t>8.1.2</t>
        </is>
      </c>
      <c r="B267" s="9" t="inlineStr">
        <is>
          <t>RELLENOS Y COMPACTACION</t>
        </is>
      </c>
      <c r="C267" s="10" t="inlineStr">
        <is>
          <t>M3</t>
        </is>
      </c>
      <c r="D267" s="10" t="n">
        <v>63.588</v>
      </c>
      <c r="E267" s="46" t="n">
        <v>70405</v>
      </c>
      <c r="F267" s="47">
        <f>D267*E267</f>
        <v/>
      </c>
      <c r="G267" s="39" t="n"/>
    </row>
    <row r="268">
      <c r="A268" s="8" t="inlineStr">
        <is>
          <t>8.1.3</t>
        </is>
      </c>
      <c r="B268" s="9" t="inlineStr">
        <is>
          <t>RETIRO DE EXCEDENTES</t>
        </is>
      </c>
      <c r="C268" s="10" t="inlineStr">
        <is>
          <t>M3</t>
        </is>
      </c>
      <c r="D268" s="10" t="n">
        <v>31.794</v>
      </c>
      <c r="E268" s="46" t="n">
        <v>82774</v>
      </c>
      <c r="F268" s="47">
        <f>D268*E268</f>
        <v/>
      </c>
      <c r="G268" s="39" t="n"/>
    </row>
    <row r="269">
      <c r="A269" s="12" t="inlineStr">
        <is>
          <t>8.2</t>
        </is>
      </c>
      <c r="B269" s="29" t="inlineStr">
        <is>
          <t>SUMINISTRO Y COLOCACIÃ“N DE MATERIALES Y EQUIPOS</t>
        </is>
      </c>
      <c r="C269" s="10" t="n"/>
      <c r="D269" s="10" t="n"/>
      <c r="E269" s="46" t="n"/>
      <c r="F269" s="47" t="n"/>
      <c r="G269" s="39" t="n"/>
    </row>
    <row r="270">
      <c r="A270" s="12" t="inlineStr">
        <is>
          <t>8.2.1</t>
        </is>
      </c>
      <c r="B270" s="29" t="inlineStr">
        <is>
          <t>INSTALACION Y MANTENCION DE ACOMETIDA Y MEDIDOR</t>
        </is>
      </c>
      <c r="C270" s="10" t="n"/>
      <c r="D270" s="10" t="n"/>
      <c r="E270" s="46" t="n"/>
      <c r="F270" s="47" t="n"/>
      <c r="G270" s="39" t="n"/>
    </row>
    <row r="271">
      <c r="A271" s="8" t="inlineStr">
        <is>
          <t>8.2.1.1</t>
        </is>
      </c>
      <c r="B271" s="9" t="inlineStr">
        <is>
          <t>CONEXION A MEDIDOR EXISTENTE</t>
        </is>
      </c>
      <c r="C271" s="10" t="inlineStr">
        <is>
          <t>UN</t>
        </is>
      </c>
      <c r="D271" s="10" t="n">
        <v>1</v>
      </c>
      <c r="E271" s="46" t="n">
        <v>665996</v>
      </c>
      <c r="F271" s="47">
        <f>D271*E271</f>
        <v/>
      </c>
      <c r="G271" s="39" t="n"/>
    </row>
    <row r="272">
      <c r="A272" s="8" t="inlineStr">
        <is>
          <t>8.2.1.2</t>
        </is>
      </c>
      <c r="B272" s="9" t="inlineStr">
        <is>
          <t>FILTROS</t>
        </is>
      </c>
      <c r="C272" s="10" t="inlineStr">
        <is>
          <t>UN</t>
        </is>
      </c>
      <c r="D272" s="10" t="n">
        <v>1</v>
      </c>
      <c r="E272" s="46" t="n">
        <v>87150</v>
      </c>
      <c r="F272" s="47">
        <f>D272*E272</f>
        <v/>
      </c>
      <c r="G272" s="39" t="n"/>
    </row>
    <row r="273">
      <c r="A273" s="12" t="inlineStr">
        <is>
          <t>8.2.2</t>
        </is>
      </c>
      <c r="B273" s="29" t="inlineStr">
        <is>
          <t>TUBERIA</t>
        </is>
      </c>
      <c r="C273" s="10" t="n"/>
      <c r="D273" s="10" t="n"/>
      <c r="E273" s="46" t="n"/>
      <c r="F273" s="47" t="n"/>
      <c r="G273" s="39" t="n"/>
    </row>
    <row r="274">
      <c r="A274" s="12" t="inlineStr">
        <is>
          <t>8.2.2.1</t>
        </is>
      </c>
      <c r="B274" s="29" t="inlineStr">
        <is>
          <t>POLIPROPILENO (PPR- SDR 3)</t>
        </is>
      </c>
      <c r="C274" s="10" t="n"/>
      <c r="D274" s="10" t="n"/>
      <c r="E274" s="46" t="n"/>
      <c r="F274" s="47" t="n"/>
      <c r="G274" s="39" t="n"/>
    </row>
    <row r="275">
      <c r="A275" s="8" t="inlineStr">
        <is>
          <t>8.2.2.1.1</t>
        </is>
      </c>
      <c r="B275" s="9" t="inlineStr">
        <is>
          <t>PPR 75MM</t>
        </is>
      </c>
      <c r="C275" s="10" t="inlineStr">
        <is>
          <t>MTS</t>
        </is>
      </c>
      <c r="D275" s="10" t="n">
        <v>1</v>
      </c>
      <c r="E275" s="46" t="n">
        <v>25556</v>
      </c>
      <c r="F275" s="47">
        <f>D275*E275</f>
        <v/>
      </c>
      <c r="G275" s="39" t="n"/>
    </row>
    <row r="276">
      <c r="A276" s="8" t="inlineStr">
        <is>
          <t>8.2.2.1.2</t>
        </is>
      </c>
      <c r="B276" s="9" t="inlineStr">
        <is>
          <t>PPR 63MM</t>
        </is>
      </c>
      <c r="C276" s="10" t="inlineStr">
        <is>
          <t>MTS</t>
        </is>
      </c>
      <c r="D276" s="10" t="n">
        <v>109.13</v>
      </c>
      <c r="E276" s="46" t="n">
        <v>17932</v>
      </c>
      <c r="F276" s="47">
        <f>D276*E276</f>
        <v/>
      </c>
      <c r="G276" s="39" t="n"/>
    </row>
    <row r="277">
      <c r="A277" s="8" t="inlineStr">
        <is>
          <t>8.2.2.1.3</t>
        </is>
      </c>
      <c r="B277" s="9" t="inlineStr">
        <is>
          <t>PPR 50MM</t>
        </is>
      </c>
      <c r="C277" s="10" t="inlineStr">
        <is>
          <t>MTS</t>
        </is>
      </c>
      <c r="D277" s="10" t="n">
        <v>1</v>
      </c>
      <c r="E277" s="46" t="n">
        <v>11336</v>
      </c>
      <c r="F277" s="47">
        <f>D277*E277</f>
        <v/>
      </c>
      <c r="G277" s="39" t="n"/>
    </row>
    <row r="278">
      <c r="A278" s="8" t="inlineStr">
        <is>
          <t>8.2.2.2</t>
        </is>
      </c>
      <c r="B278" s="9" t="inlineStr">
        <is>
          <t>PVC HIDRAULICO PN-12,5</t>
        </is>
      </c>
      <c r="C278" s="10" t="n"/>
      <c r="D278" s="10" t="n"/>
      <c r="E278" s="46" t="n"/>
      <c r="F278" s="47" t="n"/>
      <c r="G278" s="39" t="n"/>
    </row>
    <row r="279">
      <c r="A279" s="8" t="inlineStr">
        <is>
          <t>8.2.2.2.1</t>
        </is>
      </c>
      <c r="B279" s="9" t="inlineStr">
        <is>
          <t>PVC H. 75MM</t>
        </is>
      </c>
      <c r="C279" s="10" t="inlineStr">
        <is>
          <t>MTS</t>
        </is>
      </c>
      <c r="D279" s="10" t="n">
        <v>1</v>
      </c>
      <c r="E279" s="46" t="n">
        <v>3886</v>
      </c>
      <c r="F279" s="47">
        <f>D279*E279</f>
        <v/>
      </c>
      <c r="G279" s="39" t="n"/>
    </row>
    <row r="280">
      <c r="A280" s="8" t="inlineStr">
        <is>
          <t>8.2.2.2.2</t>
        </is>
      </c>
      <c r="B280" s="9" t="inlineStr">
        <is>
          <t>PVC H. 50MM</t>
        </is>
      </c>
      <c r="C280" s="10" t="inlineStr">
        <is>
          <t>MTS</t>
        </is>
      </c>
      <c r="D280" s="10" t="n">
        <v>1</v>
      </c>
      <c r="E280" s="46" t="n">
        <v>1183</v>
      </c>
      <c r="F280" s="47">
        <f>D280*E280</f>
        <v/>
      </c>
      <c r="G280" s="39" t="n"/>
    </row>
    <row r="281">
      <c r="A281" s="12" t="inlineStr">
        <is>
          <t>8.2.3</t>
        </is>
      </c>
      <c r="B281" s="29" t="inlineStr">
        <is>
          <t>VALVULAS</t>
        </is>
      </c>
      <c r="C281" s="10" t="n"/>
      <c r="D281" s="10" t="n"/>
      <c r="E281" s="46" t="n"/>
      <c r="F281" s="47" t="n"/>
      <c r="G281" s="39" t="n"/>
    </row>
    <row r="282">
      <c r="A282" s="8" t="inlineStr">
        <is>
          <t>8.2.3.1</t>
        </is>
      </c>
      <c r="B282" s="9" t="inlineStr">
        <is>
          <t>D=75MM</t>
        </is>
      </c>
      <c r="C282" s="10" t="inlineStr">
        <is>
          <t>UN</t>
        </is>
      </c>
      <c r="D282" s="10" t="n">
        <v>1</v>
      </c>
      <c r="E282" s="46" t="n">
        <v>85628</v>
      </c>
      <c r="F282" s="47">
        <f>D282*E282</f>
        <v/>
      </c>
      <c r="G282" s="39" t="n"/>
    </row>
    <row r="283">
      <c r="A283" s="8" t="inlineStr">
        <is>
          <t>8.2.3.2</t>
        </is>
      </c>
      <c r="B283" s="9" t="inlineStr">
        <is>
          <t>D=63MM</t>
        </is>
      </c>
      <c r="C283" s="10" t="inlineStr">
        <is>
          <t>UN</t>
        </is>
      </c>
      <c r="D283" s="10" t="n">
        <v>3</v>
      </c>
      <c r="E283" s="46" t="n">
        <v>51358</v>
      </c>
      <c r="F283" s="47">
        <f>D283*E283</f>
        <v/>
      </c>
      <c r="G283" s="39" t="n"/>
    </row>
    <row r="284">
      <c r="A284" s="8" t="inlineStr">
        <is>
          <t>8.2.3.3</t>
        </is>
      </c>
      <c r="B284" s="9" t="inlineStr">
        <is>
          <t>D=50MM</t>
        </is>
      </c>
      <c r="C284" s="10" t="inlineStr">
        <is>
          <t>UN</t>
        </is>
      </c>
      <c r="D284" s="10" t="n">
        <v>1</v>
      </c>
      <c r="E284" s="46" t="n">
        <v>30446</v>
      </c>
      <c r="F284" s="47">
        <f>D284*E284</f>
        <v/>
      </c>
      <c r="G284" s="39" t="n"/>
    </row>
    <row r="285">
      <c r="A285" s="8" t="inlineStr">
        <is>
          <t>8.2.4</t>
        </is>
      </c>
      <c r="B285" s="9" t="inlineStr">
        <is>
          <t>SOPORTE DE TUBERIA TIPO</t>
        </is>
      </c>
      <c r="C285" s="10" t="inlineStr">
        <is>
          <t>UN</t>
        </is>
      </c>
      <c r="D285" s="10" t="n">
        <v>6</v>
      </c>
      <c r="E285" s="46" t="n">
        <v>1998</v>
      </c>
      <c r="F285" s="47">
        <f>D285*E285</f>
        <v/>
      </c>
      <c r="G285" s="39" t="n"/>
    </row>
    <row r="286">
      <c r="A286" s="12" t="inlineStr">
        <is>
          <t>8.2.4.1</t>
        </is>
      </c>
      <c r="B286" s="29" t="inlineStr">
        <is>
          <t>ASBESTO</t>
        </is>
      </c>
      <c r="C286" s="10" t="n"/>
      <c r="D286" s="10" t="n"/>
      <c r="E286" s="46" t="n"/>
      <c r="F286" s="47" t="n"/>
      <c r="G286" s="39" t="n"/>
    </row>
    <row r="287">
      <c r="A287" s="12" t="inlineStr">
        <is>
          <t>8.2.5</t>
        </is>
      </c>
      <c r="B287" s="29" t="inlineStr">
        <is>
          <t>AISLACION</t>
        </is>
      </c>
      <c r="C287" s="10" t="n"/>
      <c r="D287" s="10" t="n"/>
      <c r="E287" s="46" t="n"/>
      <c r="F287" s="47" t="n"/>
      <c r="G287" s="39" t="n"/>
    </row>
    <row r="288">
      <c r="A288" s="8" t="inlineStr">
        <is>
          <t>8.2.5.1</t>
        </is>
      </c>
      <c r="B288" s="9" t="inlineStr">
        <is>
          <t>AISLACION ESPUMA ELASTOMERICA</t>
        </is>
      </c>
      <c r="C288" s="10" t="inlineStr">
        <is>
          <t>MTS</t>
        </is>
      </c>
      <c r="D288" s="10" t="n">
        <v>15</v>
      </c>
      <c r="E288" s="46" t="n">
        <v>1376</v>
      </c>
      <c r="F288" s="47">
        <f>D288*E288</f>
        <v/>
      </c>
      <c r="G288" s="39" t="n"/>
    </row>
    <row r="289">
      <c r="A289" s="12" t="inlineStr">
        <is>
          <t>8.2.6</t>
        </is>
      </c>
      <c r="B289" s="29" t="inlineStr">
        <is>
          <t>SISTEMA DE CONEXION A ACUMULACION AGUA PARA INCENDIO</t>
        </is>
      </c>
      <c r="C289" s="10" t="n"/>
      <c r="D289" s="10" t="n"/>
      <c r="E289" s="46" t="n"/>
      <c r="F289" s="47" t="n"/>
      <c r="G289" s="39" t="n"/>
    </row>
    <row r="290">
      <c r="A290" s="8" t="inlineStr">
        <is>
          <t>8.2.6.1</t>
        </is>
      </c>
      <c r="B290" s="9" t="inlineStr">
        <is>
          <t>CONEXION LLENADO ESTANQUE ACUMULACION</t>
        </is>
      </c>
      <c r="C290" s="10" t="inlineStr">
        <is>
          <t>UN</t>
        </is>
      </c>
      <c r="D290" s="10" t="n">
        <v>1</v>
      </c>
      <c r="E290" s="46" t="n">
        <v>951422</v>
      </c>
      <c r="F290" s="47">
        <f>D290*E290</f>
        <v/>
      </c>
      <c r="G290" s="39" t="n"/>
    </row>
    <row r="291">
      <c r="A291" s="8" t="inlineStr">
        <is>
          <t>8.2.6.2</t>
        </is>
      </c>
      <c r="B291" s="9" t="inlineStr">
        <is>
          <t>CAÑERIAS Y PIEZAS ESPECIALES</t>
        </is>
      </c>
      <c r="C291" s="10" t="inlineStr">
        <is>
          <t>UN</t>
        </is>
      </c>
      <c r="D291" s="10" t="n">
        <v>1</v>
      </c>
      <c r="E291" s="46" t="n">
        <v>871503</v>
      </c>
      <c r="F291" s="47">
        <f>D291*E291</f>
        <v/>
      </c>
      <c r="G291" s="39" t="n"/>
    </row>
    <row r="292">
      <c r="A292" s="12" t="n">
        <v>9</v>
      </c>
      <c r="B292" s="29" t="inlineStr">
        <is>
          <t>OBRAS CIVILES ESTANQUES Y SALA DE BOMBA</t>
        </is>
      </c>
      <c r="C292" s="10" t="n"/>
      <c r="D292" s="10" t="n"/>
      <c r="E292" s="46" t="n"/>
      <c r="F292" s="47" t="n"/>
      <c r="G292" s="39" t="n"/>
    </row>
    <row r="293">
      <c r="A293" s="12" t="inlineStr">
        <is>
          <t>9.1</t>
        </is>
      </c>
      <c r="B293" s="29" t="inlineStr">
        <is>
          <t>TRABAJOS PREVIOS</t>
        </is>
      </c>
      <c r="C293" s="10" t="n"/>
      <c r="D293" s="10" t="n"/>
      <c r="E293" s="46" t="n"/>
      <c r="F293" s="47" t="n"/>
      <c r="G293" s="39" t="n"/>
    </row>
    <row r="294">
      <c r="A294" s="8" t="inlineStr">
        <is>
          <t>9.1.1</t>
        </is>
      </c>
      <c r="B294" s="9" t="inlineStr">
        <is>
          <t>Reconocimiento del subsuelo</t>
        </is>
      </c>
      <c r="C294" s="10" t="inlineStr">
        <is>
          <t>GL</t>
        </is>
      </c>
      <c r="D294" s="10" t="n">
        <v>1</v>
      </c>
      <c r="E294" s="46" t="n">
        <v>11417069</v>
      </c>
      <c r="F294" s="47">
        <f>D294*E294</f>
        <v/>
      </c>
      <c r="G294" s="39" t="n"/>
      <c r="L294">
        <f>SUM(D300,D301,)</f>
        <v/>
      </c>
    </row>
    <row r="295">
      <c r="A295" s="8" t="inlineStr">
        <is>
          <t>9.1.2</t>
        </is>
      </c>
      <c r="B295" s="9" t="inlineStr">
        <is>
          <t>Despeje del terreno</t>
        </is>
      </c>
      <c r="C295" s="10" t="inlineStr">
        <is>
          <t>M2</t>
        </is>
      </c>
      <c r="D295" s="10" t="n">
        <v>166.25</v>
      </c>
      <c r="E295" s="46" t="n">
        <v>14271</v>
      </c>
      <c r="F295" s="47">
        <f>D295*E295</f>
        <v/>
      </c>
      <c r="G295" s="39" t="n"/>
    </row>
    <row r="296">
      <c r="A296" s="8" t="inlineStr">
        <is>
          <t>9.1.3</t>
        </is>
      </c>
      <c r="B296" s="9" t="inlineStr">
        <is>
          <t>Trasados y niveles</t>
        </is>
      </c>
      <c r="C296" s="10" t="inlineStr">
        <is>
          <t>MTS</t>
        </is>
      </c>
      <c r="D296" s="10" t="n">
        <v>166.25</v>
      </c>
      <c r="E296" s="46" t="n">
        <v>24261</v>
      </c>
      <c r="F296" s="47">
        <f>D296*E296</f>
        <v/>
      </c>
      <c r="G296" s="39" t="n"/>
    </row>
    <row r="297">
      <c r="A297" s="8" t="inlineStr">
        <is>
          <t>9.1.4</t>
        </is>
      </c>
      <c r="B297" s="9" t="inlineStr">
        <is>
          <t>Demoliciones desmontaje excavaciones y transporte</t>
        </is>
      </c>
      <c r="C297" s="10" t="inlineStr">
        <is>
          <t>M3</t>
        </is>
      </c>
      <c r="D297" s="10" t="n">
        <v>83.125</v>
      </c>
      <c r="E297" s="46" t="n">
        <v>94667</v>
      </c>
      <c r="F297" s="47">
        <f>D297*E297</f>
        <v/>
      </c>
      <c r="G297" s="39" t="n"/>
    </row>
    <row r="298">
      <c r="A298" s="12" t="inlineStr">
        <is>
          <t>9.2</t>
        </is>
      </c>
      <c r="B298" s="29" t="inlineStr">
        <is>
          <t>OBRA GRUESA DE CONSTRUCCION</t>
        </is>
      </c>
      <c r="C298" s="10" t="n"/>
      <c r="D298" s="10" t="n"/>
      <c r="E298" s="46" t="n"/>
      <c r="F298" s="47" t="n"/>
      <c r="G298" s="39" t="n"/>
    </row>
    <row r="299">
      <c r="A299" s="12" t="inlineStr">
        <is>
          <t>9.2.1</t>
        </is>
      </c>
      <c r="B299" s="29" t="inlineStr">
        <is>
          <t>EXCAVACIONES Y MOVIMIENTO DE TIERRA</t>
        </is>
      </c>
      <c r="C299" s="10" t="n"/>
      <c r="D299" s="10" t="n"/>
      <c r="E299" s="46" t="n"/>
      <c r="F299" s="47" t="n"/>
      <c r="G299" s="39" t="n"/>
    </row>
    <row r="300">
      <c r="A300" s="8" t="inlineStr">
        <is>
          <t>9.2.1.1</t>
        </is>
      </c>
      <c r="B300" s="9" t="inlineStr">
        <is>
          <t>Excavaciones para cimientos</t>
        </is>
      </c>
      <c r="C300" s="10" t="inlineStr">
        <is>
          <t>M3</t>
        </is>
      </c>
      <c r="D300" s="10" t="n">
        <v>99.75</v>
      </c>
      <c r="E300" s="46" t="n">
        <v>66600</v>
      </c>
      <c r="F300" s="47">
        <f>D300*E300</f>
        <v/>
      </c>
      <c r="G300" s="39" t="n"/>
    </row>
    <row r="301">
      <c r="A301" s="8" t="inlineStr">
        <is>
          <t>9.2.1.2</t>
        </is>
      </c>
      <c r="B301" s="9" t="inlineStr">
        <is>
          <t>Excavaciones generales</t>
        </is>
      </c>
      <c r="C301" s="10" t="inlineStr">
        <is>
          <t>M3</t>
        </is>
      </c>
      <c r="D301" s="10" t="n">
        <v>99.75</v>
      </c>
      <c r="E301" s="46" t="n">
        <v>66600</v>
      </c>
      <c r="F301" s="47">
        <f>D301*E301</f>
        <v/>
      </c>
      <c r="G301" s="39" t="n"/>
    </row>
    <row r="302">
      <c r="A302" s="8" t="inlineStr">
        <is>
          <t>9.2.1.3</t>
        </is>
      </c>
      <c r="B302" s="9" t="inlineStr">
        <is>
          <t>Material excedente</t>
        </is>
      </c>
      <c r="C302" s="10" t="inlineStr">
        <is>
          <t>M3</t>
        </is>
      </c>
      <c r="D302" s="10" t="n">
        <v>199.5</v>
      </c>
      <c r="E302" s="46" t="n">
        <v>82774</v>
      </c>
      <c r="F302" s="47">
        <f>D302*E302</f>
        <v/>
      </c>
      <c r="G302" s="39" t="n"/>
    </row>
    <row r="303">
      <c r="A303" s="8" t="inlineStr">
        <is>
          <t>9.2.1.4</t>
        </is>
      </c>
      <c r="B303" s="9" t="inlineStr">
        <is>
          <t>Rellenos</t>
        </is>
      </c>
      <c r="C303" s="10" t="inlineStr">
        <is>
          <t>M3</t>
        </is>
      </c>
      <c r="D303" s="10" t="n">
        <v>83.125</v>
      </c>
      <c r="E303" s="46" t="n">
        <v>70405</v>
      </c>
      <c r="F303" s="47">
        <f>D303*E303</f>
        <v/>
      </c>
      <c r="G303" s="39" t="n"/>
    </row>
    <row r="304">
      <c r="A304" s="12" t="inlineStr">
        <is>
          <t>9.2.2</t>
        </is>
      </c>
      <c r="B304" s="29" t="inlineStr">
        <is>
          <t>FUNDACIONES O CIMIENTOS</t>
        </is>
      </c>
      <c r="C304" s="10" t="n"/>
      <c r="D304" s="10" t="n"/>
      <c r="E304" s="46" t="n"/>
      <c r="F304" s="47" t="n"/>
      <c r="G304" s="39" t="n"/>
    </row>
    <row r="305">
      <c r="A305" s="8" t="inlineStr">
        <is>
          <t>9.2.2.1</t>
        </is>
      </c>
      <c r="B305" s="9" t="inlineStr">
        <is>
          <t>Fundaciones de edificios</t>
        </is>
      </c>
      <c r="C305" s="10" t="inlineStr">
        <is>
          <t>M3</t>
        </is>
      </c>
      <c r="D305" s="10" t="n">
        <v>1</v>
      </c>
      <c r="E305" s="46" t="n">
        <v>283238</v>
      </c>
      <c r="F305" s="47">
        <f>D305*E305</f>
        <v/>
      </c>
      <c r="G305" s="39" t="n"/>
    </row>
    <row r="306">
      <c r="A306" s="8" t="inlineStr">
        <is>
          <t>9.2.2.2</t>
        </is>
      </c>
      <c r="B306" s="9" t="inlineStr">
        <is>
          <t>Fierro de fundaciones</t>
        </is>
      </c>
      <c r="C306" s="10" t="inlineStr">
        <is>
          <t>KG</t>
        </is>
      </c>
      <c r="D306" s="10" t="n">
        <v>80</v>
      </c>
      <c r="E306" s="46" t="n">
        <v>5138</v>
      </c>
      <c r="F306" s="47">
        <f>D306*E306</f>
        <v/>
      </c>
      <c r="G306" s="39" t="n"/>
    </row>
    <row r="307">
      <c r="A307" s="8" t="inlineStr">
        <is>
          <t>9.2.3</t>
        </is>
      </c>
      <c r="B307" s="9" t="inlineStr">
        <is>
          <t>SOBRECIMIENTOS</t>
        </is>
      </c>
      <c r="C307" s="10" t="inlineStr">
        <is>
          <t>M3</t>
        </is>
      </c>
      <c r="D307" s="10" t="n">
        <v>4</v>
      </c>
      <c r="E307" s="46" t="n">
        <v>789395</v>
      </c>
      <c r="F307" s="47">
        <f>D307*E307</f>
        <v/>
      </c>
      <c r="G307" s="39" t="n"/>
    </row>
    <row r="308">
      <c r="A308" s="12" t="inlineStr">
        <is>
          <t>9.2.4</t>
        </is>
      </c>
      <c r="B308" s="29" t="inlineStr">
        <is>
          <t>PAVIMENTOS</t>
        </is>
      </c>
      <c r="C308" s="10" t="n"/>
      <c r="D308" s="10" t="n"/>
      <c r="E308" s="46" t="n"/>
      <c r="F308" s="47" t="n"/>
      <c r="G308" s="39" t="n"/>
    </row>
    <row r="309">
      <c r="A309" s="8" t="inlineStr">
        <is>
          <t>9.2.4.1</t>
        </is>
      </c>
      <c r="B309" s="9" t="inlineStr">
        <is>
          <t>Rellenos y base de pavimentos</t>
        </is>
      </c>
      <c r="C309" s="10" t="inlineStr">
        <is>
          <t>M2</t>
        </is>
      </c>
      <c r="D309" s="10" t="n">
        <v>166.25</v>
      </c>
      <c r="E309" s="46" t="n">
        <v>58037</v>
      </c>
      <c r="F309" s="47">
        <f>D309*E309</f>
        <v/>
      </c>
      <c r="G309" s="39" t="n"/>
    </row>
    <row r="310">
      <c r="A310" s="8" t="inlineStr">
        <is>
          <t>9.2.4.2</t>
        </is>
      </c>
      <c r="B310" s="9" t="inlineStr">
        <is>
          <t>Rellenos y/o losas</t>
        </is>
      </c>
      <c r="C310" s="10" t="inlineStr">
        <is>
          <t>M3</t>
        </is>
      </c>
      <c r="D310" s="10" t="n">
        <v>58.125</v>
      </c>
      <c r="E310" s="46" t="n">
        <v>257550</v>
      </c>
      <c r="F310" s="47">
        <f>D310*E310</f>
        <v/>
      </c>
      <c r="G310" s="39" t="n"/>
    </row>
    <row r="311">
      <c r="A311" s="12" t="inlineStr">
        <is>
          <t>9.2.5</t>
        </is>
      </c>
      <c r="B311" s="29" t="inlineStr">
        <is>
          <t>ESTRUCTURA RESISTENTE</t>
        </is>
      </c>
      <c r="C311" s="10" t="n"/>
      <c r="D311" s="10" t="n"/>
      <c r="E311" s="46" t="n"/>
      <c r="F311" s="47" t="n"/>
      <c r="G311" s="39" t="n"/>
    </row>
    <row r="312">
      <c r="A312" s="12" t="inlineStr">
        <is>
          <t>9.2.5.1</t>
        </is>
      </c>
      <c r="B312" s="29" t="inlineStr">
        <is>
          <t>ARMADURAS</t>
        </is>
      </c>
      <c r="C312" s="10" t="n"/>
      <c r="D312" s="10" t="n"/>
      <c r="E312" s="46" t="n"/>
      <c r="F312" s="47" t="n"/>
      <c r="G312" s="39" t="n"/>
    </row>
    <row r="313">
      <c r="A313" s="8" t="inlineStr">
        <is>
          <t>9.2.5.1.1</t>
        </is>
      </c>
      <c r="B313" s="9" t="inlineStr">
        <is>
          <t>Fundaciones</t>
        </is>
      </c>
      <c r="C313" s="10" t="inlineStr">
        <is>
          <t>KG</t>
        </is>
      </c>
      <c r="D313" s="10" t="n">
        <v>20</v>
      </c>
      <c r="E313" s="46" t="n">
        <v>6660</v>
      </c>
      <c r="F313" s="47">
        <f>D313*E313</f>
        <v/>
      </c>
      <c r="G313" s="39" t="n"/>
    </row>
    <row r="314">
      <c r="A314" s="8" t="inlineStr">
        <is>
          <t>9.2.5.1.2</t>
        </is>
      </c>
      <c r="B314" s="9" t="inlineStr">
        <is>
          <t>Radier armado</t>
        </is>
      </c>
      <c r="C314" s="10" t="inlineStr">
        <is>
          <t>KG</t>
        </is>
      </c>
      <c r="D314" s="10" t="n">
        <v>3850</v>
      </c>
      <c r="E314" s="46" t="n">
        <v>6660</v>
      </c>
      <c r="F314" s="47">
        <f>D314*E314</f>
        <v/>
      </c>
      <c r="G314" s="39" t="n"/>
    </row>
    <row r="315">
      <c r="A315" s="8" t="inlineStr">
        <is>
          <t>9.2.5.1.3</t>
        </is>
      </c>
      <c r="B315" s="9" t="inlineStr">
        <is>
          <t>Muros-pilares</t>
        </is>
      </c>
      <c r="C315" s="10" t="inlineStr">
        <is>
          <t>KG</t>
        </is>
      </c>
      <c r="D315" s="10" t="n">
        <v>5978</v>
      </c>
      <c r="E315" s="46" t="n">
        <v>6660</v>
      </c>
      <c r="F315" s="47">
        <f>D315*E315</f>
        <v/>
      </c>
      <c r="G315" s="39" t="n"/>
    </row>
    <row r="316">
      <c r="A316" s="8" t="inlineStr">
        <is>
          <t>9.2.5.1.4</t>
        </is>
      </c>
      <c r="B316" s="9" t="inlineStr">
        <is>
          <t>Vigas</t>
        </is>
      </c>
      <c r="C316" s="10" t="inlineStr">
        <is>
          <t>KG</t>
        </is>
      </c>
      <c r="D316" s="10" t="n">
        <v>350</v>
      </c>
      <c r="E316" s="46" t="n">
        <v>58967</v>
      </c>
      <c r="F316" s="47">
        <f>D316*E316</f>
        <v/>
      </c>
      <c r="G316" s="39" t="n"/>
    </row>
    <row r="317">
      <c r="A317" s="8" t="inlineStr">
        <is>
          <t>9.2.5.1.5</t>
        </is>
      </c>
      <c r="B317" s="9" t="inlineStr">
        <is>
          <t>Losas</t>
        </is>
      </c>
      <c r="C317" s="10" t="inlineStr">
        <is>
          <t>KG</t>
        </is>
      </c>
      <c r="D317" s="10" t="n">
        <v>2580</v>
      </c>
      <c r="E317" s="46" t="n">
        <v>58967</v>
      </c>
      <c r="F317" s="47">
        <f>D317*E317</f>
        <v/>
      </c>
      <c r="G317" s="39" t="n"/>
    </row>
    <row r="318">
      <c r="A318" s="12" t="inlineStr">
        <is>
          <t>9.2.5.2</t>
        </is>
      </c>
      <c r="B318" s="29" t="inlineStr">
        <is>
          <t>HORMIGONES</t>
        </is>
      </c>
      <c r="C318" s="10" t="n"/>
      <c r="D318" s="10" t="n"/>
      <c r="E318" s="46" t="n"/>
      <c r="F318" s="47" t="n"/>
      <c r="G318" s="39" t="n"/>
    </row>
    <row r="319">
      <c r="A319" s="8" t="inlineStr">
        <is>
          <t>9.2.5.2.1</t>
        </is>
      </c>
      <c r="B319" s="9" t="inlineStr">
        <is>
          <t>Muros - pilares</t>
        </is>
      </c>
      <c r="C319" s="10" t="inlineStr">
        <is>
          <t>M3</t>
        </is>
      </c>
      <c r="D319" s="10" t="n">
        <v>87.76000000000001</v>
      </c>
      <c r="E319" s="46" t="n">
        <v>319678</v>
      </c>
      <c r="F319" s="47">
        <f>D319*E319</f>
        <v/>
      </c>
      <c r="G319" s="39" t="n"/>
    </row>
    <row r="320">
      <c r="A320" s="8" t="inlineStr">
        <is>
          <t>9.2.5.2.2</t>
        </is>
      </c>
      <c r="B320" s="9" t="inlineStr">
        <is>
          <t>Vigas</t>
        </is>
      </c>
      <c r="C320" s="10" t="inlineStr">
        <is>
          <t>M3</t>
        </is>
      </c>
      <c r="D320" s="10" t="n">
        <v>5.46</v>
      </c>
      <c r="E320" s="46" t="n">
        <v>58967</v>
      </c>
      <c r="F320" s="47">
        <f>D320*E320</f>
        <v/>
      </c>
      <c r="G320" s="39" t="n"/>
    </row>
    <row r="321">
      <c r="A321" s="8" t="inlineStr">
        <is>
          <t>9.2.5.2.3</t>
        </is>
      </c>
      <c r="B321" s="9" t="inlineStr">
        <is>
          <t>Losas</t>
        </is>
      </c>
      <c r="C321" s="10" t="inlineStr">
        <is>
          <t>M3</t>
        </is>
      </c>
      <c r="D321" s="10" t="n">
        <v>34.875</v>
      </c>
      <c r="E321" s="46" t="n">
        <v>58967</v>
      </c>
      <c r="F321" s="47">
        <f>D321*E321</f>
        <v/>
      </c>
      <c r="G321" s="39" t="n"/>
    </row>
    <row r="322">
      <c r="A322" s="12" t="inlineStr">
        <is>
          <t>9.2.6</t>
        </is>
      </c>
      <c r="B322" s="29" t="inlineStr">
        <is>
          <t>MOLDAJES</t>
        </is>
      </c>
      <c r="C322" s="10" t="n"/>
      <c r="D322" s="10" t="n"/>
      <c r="E322" s="46" t="n"/>
      <c r="F322" s="47" t="n"/>
      <c r="G322" s="39" t="n"/>
    </row>
    <row r="323">
      <c r="A323" s="12" t="inlineStr">
        <is>
          <t>9.2.6.1</t>
        </is>
      </c>
      <c r="B323" s="29" t="inlineStr">
        <is>
          <t>MOLDAJES DE PILARES, MUROS,VIGAS,LOSAS,ETC.</t>
        </is>
      </c>
      <c r="C323" s="10" t="n"/>
      <c r="D323" s="10" t="n"/>
      <c r="E323" s="46" t="n"/>
      <c r="F323" s="47" t="n"/>
      <c r="G323" s="39" t="n"/>
    </row>
    <row r="324">
      <c r="A324" s="8" t="inlineStr">
        <is>
          <t>9.2.6.1.1</t>
        </is>
      </c>
      <c r="B324" s="9" t="inlineStr">
        <is>
          <t>Muros</t>
        </is>
      </c>
      <c r="C324" s="10" t="inlineStr">
        <is>
          <t>M2</t>
        </is>
      </c>
      <c r="D324" s="10" t="n">
        <v>284</v>
      </c>
      <c r="E324" s="46" t="n">
        <v>58967</v>
      </c>
      <c r="F324" s="47">
        <f>D324*E324</f>
        <v/>
      </c>
      <c r="G324" s="39" t="n"/>
    </row>
    <row r="325">
      <c r="A325" s="8" t="inlineStr">
        <is>
          <t>9.2.6.1.2</t>
        </is>
      </c>
      <c r="B325" s="9" t="inlineStr">
        <is>
          <t>Vigas</t>
        </is>
      </c>
      <c r="C325" s="10" t="inlineStr">
        <is>
          <t>M2</t>
        </is>
      </c>
      <c r="D325" s="10" t="n">
        <v>18</v>
      </c>
      <c r="E325" s="46" t="n">
        <v>58967</v>
      </c>
      <c r="F325" s="47">
        <f>D325*E325</f>
        <v/>
      </c>
      <c r="G325" s="39" t="n"/>
    </row>
    <row r="326">
      <c r="A326" s="8" t="inlineStr">
        <is>
          <t>9.2.6.1.3</t>
        </is>
      </c>
      <c r="B326" s="9" t="inlineStr">
        <is>
          <t>Losas</t>
        </is>
      </c>
      <c r="C326" s="10" t="inlineStr">
        <is>
          <t>M2</t>
        </is>
      </c>
      <c r="D326" s="10" t="n">
        <v>25.43</v>
      </c>
      <c r="E326" s="46" t="n">
        <v>58967</v>
      </c>
      <c r="F326" s="47">
        <f>D326*E326</f>
        <v/>
      </c>
      <c r="G326" s="39" t="n"/>
    </row>
    <row r="327">
      <c r="A327" s="8" t="inlineStr">
        <is>
          <t>9.2.7</t>
        </is>
      </c>
      <c r="B327" s="9" t="inlineStr">
        <is>
          <t>ESCALAS  GRADAS Y RAMPAS</t>
        </is>
      </c>
      <c r="C327" s="10" t="n"/>
      <c r="D327" s="10" t="n"/>
      <c r="E327" s="46" t="n"/>
      <c r="F327" s="47" t="n"/>
      <c r="G327" s="39" t="n"/>
    </row>
    <row r="328">
      <c r="A328" s="8" t="inlineStr">
        <is>
          <t>9.2.7.1</t>
        </is>
      </c>
      <c r="B328" s="9" t="inlineStr">
        <is>
          <t>Escalera galera</t>
        </is>
      </c>
      <c r="C328" s="10" t="inlineStr">
        <is>
          <t>KG</t>
        </is>
      </c>
      <c r="D328" s="10" t="n">
        <v>150</v>
      </c>
      <c r="E328" s="46" t="n">
        <v>20400</v>
      </c>
      <c r="F328" s="47">
        <f>D328*E328</f>
        <v/>
      </c>
      <c r="G328" s="39" t="n"/>
    </row>
    <row r="329">
      <c r="A329" s="12" t="inlineStr">
        <is>
          <t>9.2.8</t>
        </is>
      </c>
      <c r="B329" s="29" t="inlineStr">
        <is>
          <t>PROTECCIONES HIDRICAS</t>
        </is>
      </c>
      <c r="C329" s="10" t="n"/>
      <c r="D329" s="10" t="n"/>
      <c r="E329" s="46" t="n"/>
      <c r="F329" s="47" t="n"/>
      <c r="G329" s="39" t="n"/>
    </row>
    <row r="330">
      <c r="A330" s="12" t="inlineStr">
        <is>
          <t>9.2.8.1</t>
        </is>
      </c>
      <c r="B330" s="29" t="inlineStr">
        <is>
          <t>IMPERMEABILIZACIONES</t>
        </is>
      </c>
      <c r="C330" s="10" t="n"/>
      <c r="D330" s="10" t="n"/>
      <c r="E330" s="46" t="n"/>
      <c r="F330" s="47" t="n"/>
      <c r="G330" s="39" t="n"/>
    </row>
    <row r="331">
      <c r="A331" s="8" t="inlineStr">
        <is>
          <t>9.2.8.1.1</t>
        </is>
      </c>
      <c r="B331" s="9" t="inlineStr">
        <is>
          <t>Impermeabilización bajo pavimentos</t>
        </is>
      </c>
      <c r="C331" s="10" t="inlineStr">
        <is>
          <t>M2</t>
        </is>
      </c>
      <c r="D331" s="10" t="n">
        <v>116.25</v>
      </c>
      <c r="E331" s="46" t="n">
        <v>18454</v>
      </c>
      <c r="F331" s="47">
        <f>D331*E331</f>
        <v/>
      </c>
      <c r="G331" s="39" t="n"/>
    </row>
    <row r="332">
      <c r="A332" s="8" t="inlineStr">
        <is>
          <t>9.2.8.1.2</t>
        </is>
      </c>
      <c r="B332" s="9" t="inlineStr">
        <is>
          <t>Impermeabilización de estanques de agua potable</t>
        </is>
      </c>
      <c r="C332" s="10" t="inlineStr">
        <is>
          <t>M2</t>
        </is>
      </c>
      <c r="D332" s="10" t="n">
        <v>252</v>
      </c>
      <c r="E332" s="46" t="n">
        <v>12576</v>
      </c>
      <c r="F332" s="47">
        <f>D332*E332</f>
        <v/>
      </c>
      <c r="G332" s="39" t="n"/>
    </row>
    <row r="333">
      <c r="A333" s="8" t="inlineStr">
        <is>
          <t>9.2.8.1.3</t>
        </is>
      </c>
      <c r="B333" s="9" t="inlineStr">
        <is>
          <t>Impermeabilización de muros de contención  muros y HA</t>
        </is>
      </c>
      <c r="C333" s="10" t="inlineStr">
        <is>
          <t>M2</t>
        </is>
      </c>
      <c r="D333" s="10" t="n">
        <v>42.6</v>
      </c>
      <c r="E333" s="46" t="n">
        <v>14214</v>
      </c>
      <c r="F333" s="47">
        <f>D333*E333</f>
        <v/>
      </c>
      <c r="G333" s="39" t="n"/>
    </row>
    <row r="334">
      <c r="A334" s="8" t="inlineStr">
        <is>
          <t>9.2.8.1.4</t>
        </is>
      </c>
      <c r="B334" s="9" t="inlineStr">
        <is>
          <t>Impermeabilización superficial de muros</t>
        </is>
      </c>
      <c r="C334" s="10" t="inlineStr">
        <is>
          <t>M2</t>
        </is>
      </c>
      <c r="D334" s="10" t="n">
        <v>134.9</v>
      </c>
      <c r="E334" s="46" t="n">
        <v>27808</v>
      </c>
      <c r="F334" s="47">
        <f>D334*E334</f>
        <v/>
      </c>
      <c r="G334" s="39" t="n"/>
    </row>
    <row r="335">
      <c r="A335" s="8" t="inlineStr">
        <is>
          <t>9.2.8.1.5</t>
        </is>
      </c>
      <c r="B335" s="9" t="inlineStr">
        <is>
          <t>Impermeabilización general bajo fundaciones</t>
        </is>
      </c>
      <c r="C335" s="10" t="inlineStr">
        <is>
          <t>M2</t>
        </is>
      </c>
      <c r="D335" s="10" t="n">
        <v>116.25</v>
      </c>
      <c r="E335" s="46" t="n">
        <v>18454</v>
      </c>
      <c r="F335" s="47">
        <f>D335*E335</f>
        <v/>
      </c>
      <c r="G335" s="39" t="n"/>
    </row>
    <row r="336">
      <c r="A336" s="8" t="inlineStr">
        <is>
          <t>9.2.8.1.6</t>
        </is>
      </c>
      <c r="B336" s="9" t="inlineStr">
        <is>
          <t>Impermeabilización de canaletas de hormigón</t>
        </is>
      </c>
      <c r="C336" s="10" t="inlineStr">
        <is>
          <t>M2</t>
        </is>
      </c>
      <c r="D336" s="10" t="n">
        <v>13.5</v>
      </c>
      <c r="E336" s="46" t="n">
        <v>18454</v>
      </c>
      <c r="F336" s="47">
        <f>D336*E336</f>
        <v/>
      </c>
      <c r="G336" s="39" t="n"/>
    </row>
    <row r="337">
      <c r="A337" s="8" t="inlineStr">
        <is>
          <t>9.2.8.1.7</t>
        </is>
      </c>
      <c r="B337" s="9" t="inlineStr">
        <is>
          <t>Perfiles de seguridad contra Líquidos</t>
        </is>
      </c>
      <c r="C337" s="10" t="inlineStr">
        <is>
          <t>GL</t>
        </is>
      </c>
      <c r="D337" s="10" t="n">
        <v>1</v>
      </c>
      <c r="E337" s="46" t="n">
        <v>1008414</v>
      </c>
      <c r="F337" s="47">
        <f>D337*E337</f>
        <v/>
      </c>
      <c r="G337" s="39" t="n"/>
    </row>
    <row r="338">
      <c r="A338" s="8" t="inlineStr">
        <is>
          <t>9.2.8.1.8</t>
        </is>
      </c>
      <c r="B338" s="9" t="inlineStr">
        <is>
          <t>Perfiles de seguridad contra combustibles</t>
        </is>
      </c>
      <c r="C338" s="10" t="inlineStr">
        <is>
          <t>GL</t>
        </is>
      </c>
      <c r="D338" s="10" t="n">
        <v>1</v>
      </c>
      <c r="E338" s="46" t="n">
        <v>1008414</v>
      </c>
      <c r="F338" s="47">
        <f>D338*E338</f>
        <v/>
      </c>
      <c r="G338" s="39" t="n"/>
    </row>
    <row r="339">
      <c r="A339" s="8" t="inlineStr">
        <is>
          <t>9.2.9</t>
        </is>
      </c>
      <c r="B339" s="9" t="inlineStr">
        <is>
          <t>OBRA CIVILES DE ESPECIALIDADES</t>
        </is>
      </c>
      <c r="C339" s="10" t="inlineStr">
        <is>
          <t>GL</t>
        </is>
      </c>
      <c r="D339" s="10" t="n">
        <v>1</v>
      </c>
      <c r="E339" s="46" t="n">
        <v>4757112</v>
      </c>
      <c r="F339" s="47">
        <f>D339*E339</f>
        <v/>
      </c>
      <c r="G339" s="39" t="n"/>
    </row>
    <row r="340">
      <c r="A340" s="12" t="inlineStr">
        <is>
          <t>9.2.10</t>
        </is>
      </c>
      <c r="B340" s="29" t="inlineStr">
        <is>
          <t>FUEGO Y/O INCENDIOS</t>
        </is>
      </c>
      <c r="C340" s="10" t="n"/>
      <c r="D340" s="10" t="n"/>
      <c r="E340" s="46" t="n"/>
      <c r="F340" s="47" t="n"/>
      <c r="G340" s="39" t="n"/>
    </row>
    <row r="341">
      <c r="A341" s="8" t="inlineStr">
        <is>
          <t>9.2.10.1</t>
        </is>
      </c>
      <c r="B341" s="9" t="inlineStr">
        <is>
          <t>Sellos cortafuego</t>
        </is>
      </c>
      <c r="C341" s="10" t="inlineStr">
        <is>
          <t>GL</t>
        </is>
      </c>
      <c r="D341" s="10" t="n">
        <v>1</v>
      </c>
      <c r="E341" s="46" t="n">
        <v>2091702</v>
      </c>
      <c r="F341" s="47">
        <f>D341*E341</f>
        <v/>
      </c>
      <c r="G341" s="39" t="n"/>
    </row>
    <row r="342">
      <c r="A342" s="12" t="inlineStr">
        <is>
          <t>9.3</t>
        </is>
      </c>
      <c r="B342" s="29" t="inlineStr">
        <is>
          <t>OBRA DE TERMINACIONES</t>
        </is>
      </c>
      <c r="C342" s="10" t="n"/>
      <c r="D342" s="10" t="n"/>
      <c r="E342" s="46" t="n"/>
      <c r="F342" s="47" t="n"/>
      <c r="G342" s="39" t="n"/>
    </row>
    <row r="343">
      <c r="A343" s="12" t="inlineStr">
        <is>
          <t>9.3.1</t>
        </is>
      </c>
      <c r="B343" s="29" t="inlineStr">
        <is>
          <t>AISLACIONES</t>
        </is>
      </c>
      <c r="C343" s="10" t="n"/>
      <c r="D343" s="10" t="n"/>
      <c r="E343" s="46" t="n"/>
      <c r="F343" s="47" t="n"/>
      <c r="G343" s="39" t="n"/>
    </row>
    <row r="344">
      <c r="A344" s="8" t="inlineStr">
        <is>
          <t>9.3.1.1</t>
        </is>
      </c>
      <c r="B344" s="9" t="inlineStr">
        <is>
          <t>Amortiguadores de ruidos y vibraciones</t>
        </is>
      </c>
      <c r="C344" s="10" t="inlineStr">
        <is>
          <t>GL</t>
        </is>
      </c>
      <c r="D344" s="10" t="n">
        <v>1</v>
      </c>
      <c r="E344" s="46" t="n">
        <v>1079864</v>
      </c>
      <c r="F344" s="47">
        <f>D344*E344</f>
        <v/>
      </c>
      <c r="G344" s="39" t="n"/>
    </row>
    <row r="345">
      <c r="A345" s="8" t="inlineStr">
        <is>
          <t>9.3.1.2</t>
        </is>
      </c>
      <c r="B345" s="9" t="inlineStr">
        <is>
          <t>Aislador contra electrolisis</t>
        </is>
      </c>
      <c r="C345" s="10" t="inlineStr">
        <is>
          <t>GL</t>
        </is>
      </c>
      <c r="D345" s="10" t="n">
        <v>1</v>
      </c>
      <c r="E345" s="46" t="n">
        <v>984722</v>
      </c>
      <c r="F345" s="47">
        <f>D345*E345</f>
        <v/>
      </c>
      <c r="G345" s="39" t="n"/>
    </row>
    <row r="346">
      <c r="A346" s="16" t="inlineStr">
        <is>
          <t>9.4</t>
        </is>
      </c>
      <c r="B346" s="17" t="inlineStr">
        <is>
          <t>REVESTIMIENTOS EXTERIORES</t>
        </is>
      </c>
      <c r="C346" s="18" t="n"/>
      <c r="D346" s="10" t="n"/>
      <c r="E346" s="49" t="n"/>
      <c r="F346" s="50" t="n"/>
      <c r="G346" s="39" t="n"/>
    </row>
    <row r="347">
      <c r="A347" s="20" t="inlineStr">
        <is>
          <t>9.4.1</t>
        </is>
      </c>
      <c r="B347" s="21" t="inlineStr">
        <is>
          <t>Revoque de mortero de cemento</t>
        </is>
      </c>
      <c r="C347" s="18" t="inlineStr">
        <is>
          <t>M2</t>
        </is>
      </c>
      <c r="D347" s="10" t="n">
        <v>177.5</v>
      </c>
      <c r="E347" s="46" t="n">
        <v>27761</v>
      </c>
      <c r="F347" s="50">
        <f>D347*E347</f>
        <v/>
      </c>
      <c r="G347" s="39" t="n"/>
    </row>
    <row r="348">
      <c r="A348" s="16" t="inlineStr">
        <is>
          <t>9.5</t>
        </is>
      </c>
      <c r="B348" s="17" t="inlineStr">
        <is>
          <t>REVESTIMIENTOS INTERIORES</t>
        </is>
      </c>
      <c r="C348" s="18" t="n"/>
      <c r="D348" s="10" t="n"/>
      <c r="E348" s="49" t="n"/>
      <c r="F348" s="50" t="n"/>
      <c r="G348" s="39" t="n"/>
    </row>
    <row r="349">
      <c r="A349" s="8" t="inlineStr">
        <is>
          <t>9.5.1</t>
        </is>
      </c>
      <c r="B349" s="9" t="inlineStr">
        <is>
          <t>Revoque de mortero de cemento</t>
        </is>
      </c>
      <c r="C349" s="10" t="inlineStr">
        <is>
          <t>M2</t>
        </is>
      </c>
      <c r="D349" s="10" t="n">
        <v>252</v>
      </c>
      <c r="E349" s="46" t="n">
        <v>27761</v>
      </c>
      <c r="F349" s="47">
        <f>D349*E349</f>
        <v/>
      </c>
      <c r="G349" s="39" t="n"/>
    </row>
    <row r="350">
      <c r="A350" s="12" t="inlineStr">
        <is>
          <t>9.6</t>
        </is>
      </c>
      <c r="B350" s="29" t="inlineStr">
        <is>
          <t>PAVIMENTOS</t>
        </is>
      </c>
      <c r="C350" s="10" t="n"/>
      <c r="D350" s="10" t="n"/>
      <c r="E350" s="46" t="n"/>
      <c r="F350" s="47" t="n"/>
      <c r="G350" s="39" t="n"/>
    </row>
    <row r="351">
      <c r="A351" s="8" t="inlineStr">
        <is>
          <t>9.6.1</t>
        </is>
      </c>
      <c r="B351" s="9" t="inlineStr">
        <is>
          <t>Radier afinado</t>
        </is>
      </c>
      <c r="C351" s="10" t="inlineStr">
        <is>
          <t>M2</t>
        </is>
      </c>
      <c r="D351" s="10" t="n">
        <v>116.25</v>
      </c>
      <c r="E351" s="46" t="n">
        <v>22714</v>
      </c>
      <c r="F351" s="47">
        <f>D351*E351</f>
        <v/>
      </c>
      <c r="G351" s="39" t="n"/>
    </row>
    <row r="352">
      <c r="A352" s="8" t="inlineStr">
        <is>
          <t>9.6.2</t>
        </is>
      </c>
      <c r="B352" s="9" t="inlineStr">
        <is>
          <t>Aislador mecánico</t>
        </is>
      </c>
      <c r="C352" s="10" t="inlineStr">
        <is>
          <t>M2</t>
        </is>
      </c>
      <c r="D352" s="10" t="n">
        <v>116.25</v>
      </c>
      <c r="E352" s="46" t="n"/>
      <c r="F352" s="47">
        <f>D352*E352</f>
        <v/>
      </c>
      <c r="G352" s="39" t="inlineStr">
        <is>
          <t>SI</t>
        </is>
      </c>
    </row>
    <row r="353">
      <c r="A353" s="12" t="inlineStr">
        <is>
          <t>9.7</t>
        </is>
      </c>
      <c r="B353" s="29" t="inlineStr">
        <is>
          <t>PUERTAS  VENTILACIONES</t>
        </is>
      </c>
      <c r="C353" s="10" t="n"/>
      <c r="D353" s="10" t="n"/>
      <c r="E353" s="46" t="n"/>
      <c r="F353" s="47" t="n"/>
      <c r="G353" s="39" t="n"/>
    </row>
    <row r="354">
      <c r="A354" s="12" t="inlineStr">
        <is>
          <t>9.7.1</t>
        </is>
      </c>
      <c r="B354" s="29" t="inlineStr">
        <is>
          <t>PUERTAS</t>
        </is>
      </c>
      <c r="C354" s="10" t="n"/>
      <c r="D354" s="10" t="n"/>
      <c r="E354" s="46" t="n"/>
      <c r="F354" s="47" t="n"/>
      <c r="G354" s="39" t="n"/>
    </row>
    <row r="355">
      <c r="A355" s="12" t="inlineStr">
        <is>
          <t>9.7.1.1</t>
        </is>
      </c>
      <c r="B355" s="29" t="inlineStr">
        <is>
          <t>PUERTAS DE ABATIR METALICAS</t>
        </is>
      </c>
      <c r="C355" s="10" t="n"/>
      <c r="D355" s="10" t="n"/>
      <c r="E355" s="46" t="n"/>
      <c r="F355" s="47" t="n"/>
      <c r="G355" s="39" t="n"/>
    </row>
    <row r="356">
      <c r="A356" s="8" t="inlineStr">
        <is>
          <t>9.7.1.1.1</t>
        </is>
      </c>
      <c r="B356" s="9" t="inlineStr">
        <is>
          <t>Puertas metálicas superiores (PM1)</t>
        </is>
      </c>
      <c r="C356" s="10" t="inlineStr">
        <is>
          <t>UN</t>
        </is>
      </c>
      <c r="D356" s="10" t="n">
        <v>2</v>
      </c>
      <c r="E356" s="46" t="n">
        <v>1434745</v>
      </c>
      <c r="F356" s="47">
        <f>D356*E356</f>
        <v/>
      </c>
      <c r="G356" s="39" t="n"/>
    </row>
    <row r="357">
      <c r="A357" s="8" t="inlineStr">
        <is>
          <t>9.7.1.1.2</t>
        </is>
      </c>
      <c r="B357" s="9" t="inlineStr">
        <is>
          <t>Puertas metálicas inferiores (PM2)</t>
        </is>
      </c>
      <c r="C357" s="10" t="inlineStr">
        <is>
          <t>UN</t>
        </is>
      </c>
      <c r="D357" s="10" t="n">
        <v>1</v>
      </c>
      <c r="E357" s="46" t="n">
        <v>3008398</v>
      </c>
      <c r="F357" s="47">
        <f>D357*E357</f>
        <v/>
      </c>
      <c r="G357" s="39" t="n"/>
    </row>
    <row r="358">
      <c r="A358" s="12" t="inlineStr">
        <is>
          <t>9.8</t>
        </is>
      </c>
      <c r="B358" s="29" t="inlineStr">
        <is>
          <t>CERRALERIA Y QUINCALLERIA</t>
        </is>
      </c>
      <c r="C358" s="10" t="n"/>
      <c r="D358" s="10" t="n"/>
      <c r="E358" s="46" t="n"/>
      <c r="F358" s="47" t="n"/>
      <c r="G358" s="39" t="n"/>
    </row>
    <row r="359">
      <c r="A359" s="8" t="inlineStr">
        <is>
          <t>9.8.1</t>
        </is>
      </c>
      <c r="B359" s="9" t="inlineStr">
        <is>
          <t>Bisagras y sistemas de suspensión de puertas</t>
        </is>
      </c>
      <c r="C359" s="10" t="inlineStr">
        <is>
          <t>GL</t>
        </is>
      </c>
      <c r="D359" s="10" t="n">
        <v>1</v>
      </c>
      <c r="E359" s="46" t="n">
        <v>238807</v>
      </c>
      <c r="F359" s="47">
        <f>D359*E359</f>
        <v/>
      </c>
      <c r="G359" s="39" t="n"/>
    </row>
    <row r="360">
      <c r="A360" s="8" t="inlineStr">
        <is>
          <t>9.8.2</t>
        </is>
      </c>
      <c r="B360" s="9" t="inlineStr">
        <is>
          <t>Cerradura y manillas</t>
        </is>
      </c>
      <c r="C360" s="10" t="inlineStr">
        <is>
          <t>GL</t>
        </is>
      </c>
      <c r="D360" s="10" t="n">
        <v>1</v>
      </c>
      <c r="E360" s="46" t="n">
        <v>1120776</v>
      </c>
      <c r="F360" s="47">
        <f>D360*E360</f>
        <v/>
      </c>
      <c r="G360" s="39" t="n"/>
    </row>
    <row r="361">
      <c r="A361" s="8" t="inlineStr">
        <is>
          <t>9.8.3</t>
        </is>
      </c>
      <c r="B361" s="9" t="inlineStr">
        <is>
          <t>Manillas y travesaños</t>
        </is>
      </c>
      <c r="C361" s="10" t="inlineStr">
        <is>
          <t>GL</t>
        </is>
      </c>
      <c r="D361" s="10" t="n">
        <v>1</v>
      </c>
      <c r="E361" s="46" t="n">
        <v>278006</v>
      </c>
      <c r="F361" s="47">
        <f>D361*E361</f>
        <v/>
      </c>
      <c r="G361" s="39" t="n"/>
    </row>
    <row r="362">
      <c r="A362" s="12" t="inlineStr">
        <is>
          <t>9.9</t>
        </is>
      </c>
      <c r="B362" s="29" t="inlineStr">
        <is>
          <t>CARPINTERIAS ESPECIALES</t>
        </is>
      </c>
      <c r="C362" s="10" t="n"/>
      <c r="D362" s="10" t="n"/>
      <c r="E362" s="46" t="n"/>
      <c r="F362" s="47" t="n"/>
      <c r="G362" s="39" t="n"/>
    </row>
    <row r="363">
      <c r="A363" s="8" t="inlineStr">
        <is>
          <t>9.9.1</t>
        </is>
      </c>
      <c r="B363" s="9" t="inlineStr">
        <is>
          <t>Escaleras</t>
        </is>
      </c>
      <c r="C363" s="10" t="inlineStr">
        <is>
          <t>GL</t>
        </is>
      </c>
      <c r="D363" s="10" t="n">
        <v>1</v>
      </c>
      <c r="E363" s="46" t="n">
        <v>425286</v>
      </c>
      <c r="F363" s="47">
        <f>D363*E363</f>
        <v/>
      </c>
      <c r="G363" s="39" t="n"/>
    </row>
    <row r="364">
      <c r="A364" s="8" t="inlineStr">
        <is>
          <t>9.9.2</t>
        </is>
      </c>
      <c r="B364" s="9" t="inlineStr">
        <is>
          <t>Gateras</t>
        </is>
      </c>
      <c r="C364" s="10" t="inlineStr">
        <is>
          <t>UN</t>
        </is>
      </c>
      <c r="D364" s="10" t="n">
        <v>5</v>
      </c>
      <c r="E364" s="46" t="n">
        <v>418150</v>
      </c>
      <c r="F364" s="47">
        <f>D364*E364</f>
        <v/>
      </c>
      <c r="G364" s="39" t="n"/>
    </row>
    <row r="365">
      <c r="A365" s="12" t="inlineStr">
        <is>
          <t>9.10</t>
        </is>
      </c>
      <c r="B365" s="29" t="inlineStr">
        <is>
          <t>CHIMENEA (DEBE SER PROVISTA POR PROVEEDOR DE BOMBA DE PETROLEO)</t>
        </is>
      </c>
      <c r="C365" s="10" t="n"/>
      <c r="D365" s="10" t="n"/>
      <c r="E365" s="46" t="n"/>
      <c r="F365" s="47" t="n"/>
      <c r="G365" s="39" t="n"/>
    </row>
    <row r="366">
      <c r="A366" s="12" t="inlineStr">
        <is>
          <t>9.11</t>
        </is>
      </c>
      <c r="B366" s="29" t="inlineStr">
        <is>
          <t>FERRETERIAS Y PROTECCION</t>
        </is>
      </c>
      <c r="C366" s="10" t="n"/>
      <c r="D366" s="10" t="n"/>
      <c r="E366" s="46" t="n"/>
      <c r="F366" s="47" t="n"/>
      <c r="G366" s="39" t="n"/>
    </row>
    <row r="367">
      <c r="A367" s="8" t="inlineStr">
        <is>
          <t>9.11.1</t>
        </is>
      </c>
      <c r="B367" s="9" t="inlineStr">
        <is>
          <t>Celosías metálicas</t>
        </is>
      </c>
      <c r="C367" s="10" t="inlineStr">
        <is>
          <t>UN</t>
        </is>
      </c>
      <c r="D367" s="10" t="n">
        <v>2</v>
      </c>
      <c r="E367" s="46" t="n">
        <v>310442</v>
      </c>
      <c r="F367" s="47">
        <f>D367*E367</f>
        <v/>
      </c>
      <c r="G367" s="39" t="n"/>
    </row>
    <row r="368">
      <c r="A368" s="8" t="inlineStr">
        <is>
          <t>9.11.1.1</t>
        </is>
      </c>
      <c r="B368" s="9" t="inlineStr">
        <is>
          <t>Aluminio</t>
        </is>
      </c>
      <c r="C368" s="10" t="inlineStr">
        <is>
          <t>UN</t>
        </is>
      </c>
      <c r="D368" s="10" t="n">
        <v>2</v>
      </c>
      <c r="E368" s="46" t="n">
        <v>310442</v>
      </c>
      <c r="F368" s="47">
        <f>D368*E368</f>
        <v/>
      </c>
      <c r="G368" s="39" t="n"/>
    </row>
    <row r="369">
      <c r="A369" s="8" t="inlineStr">
        <is>
          <t>9.11.1.2</t>
        </is>
      </c>
      <c r="B369" s="9" t="inlineStr">
        <is>
          <t>Celosías metálicas canal de aguas y sertina</t>
        </is>
      </c>
      <c r="C369" s="10" t="inlineStr">
        <is>
          <t>M2</t>
        </is>
      </c>
      <c r="D369" s="10" t="n">
        <v>2</v>
      </c>
      <c r="E369" s="46" t="n">
        <v>310442</v>
      </c>
      <c r="F369" s="47">
        <f>D369*E369</f>
        <v/>
      </c>
      <c r="G369" s="39" t="n"/>
    </row>
    <row r="370">
      <c r="A370" s="12" t="inlineStr">
        <is>
          <t>9.12</t>
        </is>
      </c>
      <c r="B370" s="29" t="inlineStr">
        <is>
          <t>PROTECCION DE MECANISMO</t>
        </is>
      </c>
      <c r="C370" s="10" t="n"/>
      <c r="D370" s="10" t="n"/>
      <c r="E370" s="46" t="n"/>
      <c r="F370" s="47" t="n"/>
      <c r="G370" s="39" t="n"/>
    </row>
    <row r="371">
      <c r="A371" s="12" t="inlineStr">
        <is>
          <t>9.12.1</t>
        </is>
      </c>
      <c r="B371" s="29" t="inlineStr">
        <is>
          <t>GENERALIDADES</t>
        </is>
      </c>
      <c r="C371" s="10" t="n"/>
      <c r="D371" s="10" t="n"/>
      <c r="E371" s="46" t="n"/>
      <c r="F371" s="47" t="n"/>
      <c r="G371" s="39" t="n"/>
    </row>
    <row r="372">
      <c r="A372" s="12" t="inlineStr">
        <is>
          <t>9.12.1.1</t>
        </is>
      </c>
      <c r="B372" s="29" t="inlineStr">
        <is>
          <t>CLASIFICACION DE SELLOS DE PASADAS</t>
        </is>
      </c>
      <c r="C372" s="10" t="n"/>
      <c r="D372" s="10" t="n"/>
      <c r="E372" s="46" t="n"/>
      <c r="F372" s="47" t="n"/>
      <c r="G372" s="39" t="n"/>
    </row>
    <row r="373">
      <c r="A373" s="8" t="inlineStr">
        <is>
          <t>9.12.1.1.1</t>
        </is>
      </c>
      <c r="B373" s="9" t="inlineStr">
        <is>
          <t>Paso de ductos de agua fría</t>
        </is>
      </c>
      <c r="C373" s="10" t="inlineStr">
        <is>
          <t>UN</t>
        </is>
      </c>
      <c r="D373" s="10" t="n">
        <v>5</v>
      </c>
      <c r="E373" s="46" t="n">
        <v>38057</v>
      </c>
      <c r="F373" s="47">
        <f>D373*E373</f>
        <v/>
      </c>
      <c r="G373" s="39" t="n"/>
    </row>
    <row r="374">
      <c r="A374" s="8" t="inlineStr">
        <is>
          <t>9.12.1.1.2</t>
        </is>
      </c>
      <c r="B374" s="9" t="inlineStr">
        <is>
          <t>Paso ductos de escape</t>
        </is>
      </c>
      <c r="C374" s="10" t="inlineStr">
        <is>
          <t>UN</t>
        </is>
      </c>
      <c r="D374" s="10" t="n">
        <v>1</v>
      </c>
      <c r="E374" s="46" t="n">
        <v>38057</v>
      </c>
      <c r="F374" s="47">
        <f>D374*E374</f>
        <v/>
      </c>
      <c r="G374" s="39" t="n"/>
    </row>
    <row r="375">
      <c r="A375" s="12" t="inlineStr">
        <is>
          <t>9.12.1.1.3</t>
        </is>
      </c>
      <c r="B375" s="29" t="inlineStr">
        <is>
          <t>PASO DE DUCTOS SANITARIOS DE PVC Y TUBERÃAS DE COMBUSTIBLE PVC Y HDPE</t>
        </is>
      </c>
      <c r="C375" s="10" t="n"/>
      <c r="D375" s="10" t="n"/>
      <c r="E375" s="46" t="n"/>
      <c r="F375" s="47" t="n"/>
      <c r="G375" s="39" t="n"/>
    </row>
    <row r="376">
      <c r="A376" s="8" t="inlineStr">
        <is>
          <t>9.12.1.1.3.1</t>
        </is>
      </c>
      <c r="B376" s="9" t="inlineStr">
        <is>
          <t>Paso de ductos en losas</t>
        </is>
      </c>
      <c r="C376" s="10" t="inlineStr">
        <is>
          <t>GL</t>
        </is>
      </c>
      <c r="D376" s="10" t="n">
        <v>1</v>
      </c>
      <c r="E376" s="46" t="n">
        <v>475711</v>
      </c>
      <c r="F376" s="47">
        <f>D376*E376</f>
        <v/>
      </c>
      <c r="G376" s="39" t="n"/>
    </row>
    <row r="377">
      <c r="A377" s="8" t="inlineStr">
        <is>
          <t>9.12.1.1.3.2</t>
        </is>
      </c>
      <c r="B377" s="9" t="inlineStr">
        <is>
          <t>Paso ductos en muros</t>
        </is>
      </c>
      <c r="C377" s="10" t="inlineStr">
        <is>
          <t>GL</t>
        </is>
      </c>
      <c r="D377" s="10" t="n">
        <v>1</v>
      </c>
      <c r="E377" s="46" t="n">
        <v>475711</v>
      </c>
      <c r="F377" s="47">
        <f>D377*E377</f>
        <v/>
      </c>
      <c r="G377" s="39" t="n"/>
    </row>
    <row r="378">
      <c r="A378" s="12" t="inlineStr">
        <is>
          <t>9.13</t>
        </is>
      </c>
      <c r="B378" s="29" t="inlineStr">
        <is>
          <t>PINTURA Y BARNICES</t>
        </is>
      </c>
      <c r="C378" s="10" t="n"/>
      <c r="D378" s="10" t="n"/>
      <c r="E378" s="46" t="n"/>
      <c r="F378" s="47" t="n"/>
      <c r="G378" s="39" t="n"/>
    </row>
    <row r="379">
      <c r="A379" s="8" t="inlineStr">
        <is>
          <t>9.13.1</t>
        </is>
      </c>
      <c r="B379" s="9" t="inlineStr">
        <is>
          <t>Pintura anticorrosiva</t>
        </is>
      </c>
      <c r="C379" s="10" t="inlineStr">
        <is>
          <t>M2</t>
        </is>
      </c>
      <c r="D379" s="10" t="n">
        <v>45</v>
      </c>
      <c r="E379" s="46" t="n">
        <v>25688</v>
      </c>
      <c r="F379" s="47">
        <f>D379*E379</f>
        <v/>
      </c>
      <c r="G379" s="39" t="n"/>
    </row>
    <row r="380">
      <c r="A380" s="8" t="inlineStr">
        <is>
          <t>9.13.2</t>
        </is>
      </c>
      <c r="B380" s="9" t="inlineStr">
        <is>
          <t>Esmalte sintético</t>
        </is>
      </c>
      <c r="C380" s="10" t="inlineStr">
        <is>
          <t>M2</t>
        </is>
      </c>
      <c r="D380" s="10" t="n">
        <v>45</v>
      </c>
      <c r="E380" s="46" t="n">
        <v>24737</v>
      </c>
      <c r="F380" s="47">
        <f>D380*E380</f>
        <v/>
      </c>
      <c r="G380" s="39" t="n"/>
    </row>
    <row r="381">
      <c r="A381" s="8" t="inlineStr">
        <is>
          <t>9.13.3</t>
        </is>
      </c>
      <c r="B381" s="9" t="inlineStr">
        <is>
          <t>Pintura caucho clorado</t>
        </is>
      </c>
      <c r="C381" s="10" t="inlineStr">
        <is>
          <t>M2</t>
        </is>
      </c>
      <c r="D381" s="10" t="n">
        <v>116.25</v>
      </c>
      <c r="E381" s="46" t="n">
        <v>28543</v>
      </c>
      <c r="F381" s="47">
        <f>D381*E381</f>
        <v/>
      </c>
      <c r="G381" s="39" t="n"/>
    </row>
    <row r="382">
      <c r="A382" s="12" t="inlineStr">
        <is>
          <t>9.14</t>
        </is>
      </c>
      <c r="B382" s="29" t="inlineStr">
        <is>
          <t>ASEO  LIMPIEZA Y ENTREGA FINAL DE LA OBRA</t>
        </is>
      </c>
      <c r="C382" s="10" t="inlineStr">
        <is>
          <t>GL</t>
        </is>
      </c>
      <c r="D382" s="10" t="n">
        <v>1</v>
      </c>
      <c r="E382" s="46" t="n">
        <v>2854267</v>
      </c>
      <c r="F382" s="47">
        <f>D382*E382</f>
        <v/>
      </c>
      <c r="G382" s="39" t="n"/>
    </row>
    <row r="383">
      <c r="B383" s="9" t="n"/>
      <c r="C383" s="10" t="n"/>
      <c r="D383" s="10" t="n"/>
      <c r="E383" s="46" t="n"/>
      <c r="G383" s="39" t="n"/>
    </row>
    <row r="384">
      <c r="A384" s="24" t="n"/>
      <c r="B384" s="29" t="inlineStr">
        <is>
          <t>TOTAL COSTO DIRECTO</t>
        </is>
      </c>
      <c r="C384" s="51" t="n"/>
      <c r="D384" s="52" t="n"/>
      <c r="E384" s="25" t="n"/>
      <c r="F384" s="53">
        <f>SUM(F7:F383)</f>
        <v/>
      </c>
      <c r="G384" s="39" t="n"/>
    </row>
    <row r="385">
      <c r="A385" s="24" t="n"/>
      <c r="B385" s="29" t="inlineStr">
        <is>
          <t>GASTOS GENERALES</t>
        </is>
      </c>
      <c r="C385" s="51" t="n"/>
      <c r="D385" s="52" t="n"/>
      <c r="E385" s="26" t="n">
        <v>0.15</v>
      </c>
      <c r="F385" s="53">
        <f>F384*E385</f>
        <v/>
      </c>
      <c r="G385" s="39" t="n"/>
    </row>
    <row r="386">
      <c r="A386" s="24" t="n"/>
      <c r="B386" s="29" t="inlineStr">
        <is>
          <t>UTILIDADES</t>
        </is>
      </c>
      <c r="C386" s="51" t="n"/>
      <c r="D386" s="52" t="n"/>
      <c r="E386" s="26" t="n">
        <v>0.15</v>
      </c>
      <c r="F386" s="53">
        <f>F384*E386</f>
        <v/>
      </c>
      <c r="G386" s="39" t="n"/>
    </row>
    <row r="387">
      <c r="A387" s="24" t="n"/>
      <c r="B387" s="29" t="inlineStr">
        <is>
          <t>COSTO TOTAL</t>
        </is>
      </c>
      <c r="C387" s="51" t="n"/>
      <c r="D387" s="52" t="n"/>
      <c r="E387" s="26" t="n"/>
      <c r="F387" s="53">
        <f>F384+F385+F386</f>
        <v/>
      </c>
      <c r="G387" s="39" t="n"/>
    </row>
    <row r="388">
      <c r="A388" s="24" t="n"/>
      <c r="B388" s="29" t="inlineStr">
        <is>
          <t>IVA</t>
        </is>
      </c>
      <c r="C388" s="51" t="n"/>
      <c r="D388" s="52" t="n"/>
      <c r="E388" s="26" t="n">
        <v>0.19</v>
      </c>
      <c r="F388" s="53">
        <f>F387*E388</f>
        <v/>
      </c>
      <c r="G388" s="39" t="n"/>
    </row>
    <row r="389">
      <c r="A389" s="24" t="n"/>
      <c r="B389" s="29" t="inlineStr">
        <is>
          <t>VALOR TOTAL DEL PROYECTO</t>
        </is>
      </c>
      <c r="C389" s="51" t="n"/>
      <c r="D389" s="52" t="n"/>
      <c r="E389" s="26" t="n"/>
      <c r="F389" s="53">
        <f>F387+F388</f>
        <v/>
      </c>
      <c r="G389" s="39" t="n"/>
    </row>
    <row r="392">
      <c r="F392" s="54" t="n"/>
    </row>
  </sheetData>
  <autoFilter ref="A6:F382"/>
  <mergeCells count="8">
    <mergeCell ref="A2:F2"/>
    <mergeCell ref="B384:D384"/>
    <mergeCell ref="B387:D387"/>
    <mergeCell ref="B388:D388"/>
    <mergeCell ref="B385:D385"/>
    <mergeCell ref="A3:F3"/>
    <mergeCell ref="B386:D386"/>
    <mergeCell ref="B389:D389"/>
  </mergeCells>
  <pageMargins left="0.7" right="0.7" top="0.75" bottom="0.75" header="0.3" footer="0.3"/>
  <pageSetup orientation="portrait" scale="6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</dc:creator>
  <dcterms:created xsi:type="dcterms:W3CDTF">2026-09-29T02:52:22Z</dcterms:created>
  <dcterms:modified xsi:type="dcterms:W3CDTF">2026-10-23T21:22:09Z</dcterms:modified>
  <cp:lastModifiedBy>Oscar Oliva Gonzalez</cp:lastModifiedBy>
</cp:coreProperties>
</file>